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"/>
    </mc:Choice>
  </mc:AlternateContent>
  <xr:revisionPtr revIDLastSave="0" documentId="13_ncr:1_{4CDF719B-7E71-4AD7-9295-EF045897950C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Cover" sheetId="3" r:id="rId1"/>
    <sheet name="Raw Data" sheetId="4" r:id="rId2"/>
    <sheet name="Cleaned Data" sheetId="1" r:id="rId3"/>
    <sheet name="Data visualization table." sheetId="13" r:id="rId4"/>
    <sheet name="EXPORTING DATA" sheetId="14" r:id="rId5"/>
  </sheets>
  <definedNames>
    <definedName name="_xlnm._FilterDatabase" localSheetId="2" hidden="1">'Cleaned Data'!$A$1:$A$101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1" i="14" l="1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L2" i="13" s="1"/>
  <c r="G19" i="1"/>
  <c r="G78" i="1"/>
  <c r="G18" i="1"/>
  <c r="G83" i="1"/>
  <c r="G72" i="1"/>
  <c r="G33" i="1"/>
  <c r="G23" i="1"/>
  <c r="G99" i="1"/>
  <c r="G68" i="1"/>
  <c r="G42" i="1"/>
  <c r="G69" i="1"/>
  <c r="G25" i="1"/>
  <c r="G67" i="1"/>
  <c r="G91" i="1"/>
  <c r="G21" i="1"/>
  <c r="G26" i="1"/>
  <c r="G81" i="1"/>
  <c r="G44" i="1"/>
  <c r="G60" i="1"/>
  <c r="G41" i="1"/>
  <c r="G54" i="1"/>
  <c r="G85" i="1"/>
  <c r="G76" i="1"/>
  <c r="G75" i="1"/>
  <c r="G13" i="1"/>
  <c r="G74" i="1"/>
  <c r="G24" i="1"/>
  <c r="G29" i="1"/>
  <c r="G94" i="1"/>
  <c r="G5" i="1"/>
  <c r="G100" i="1"/>
  <c r="G53" i="1"/>
  <c r="G30" i="1"/>
  <c r="G61" i="1"/>
  <c r="G32" i="1"/>
  <c r="G49" i="1"/>
  <c r="G73" i="1"/>
  <c r="G101" i="1"/>
  <c r="G43" i="1"/>
  <c r="G8" i="1"/>
  <c r="G93" i="1"/>
  <c r="G47" i="1"/>
  <c r="G36" i="1"/>
  <c r="G48" i="1"/>
  <c r="G57" i="1"/>
  <c r="G62" i="1"/>
  <c r="G45" i="1"/>
  <c r="G87" i="1"/>
  <c r="G10" i="1"/>
  <c r="G40" i="1"/>
  <c r="G55" i="1"/>
  <c r="G17" i="1"/>
  <c r="G2" i="1"/>
  <c r="G50" i="1"/>
  <c r="G15" i="1"/>
  <c r="G14" i="1"/>
  <c r="G27" i="1"/>
  <c r="G82" i="1"/>
  <c r="G3" i="1"/>
  <c r="G31" i="1"/>
  <c r="G11" i="1"/>
  <c r="G70" i="1"/>
  <c r="G96" i="1"/>
  <c r="G9" i="1"/>
  <c r="G88" i="1"/>
  <c r="G35" i="1"/>
  <c r="G66" i="1"/>
  <c r="G4" i="1"/>
  <c r="G6" i="1"/>
  <c r="G95" i="1"/>
  <c r="G12" i="1"/>
  <c r="G86" i="1"/>
  <c r="G52" i="1"/>
  <c r="G56" i="1"/>
  <c r="G7" i="1"/>
  <c r="G16" i="1"/>
  <c r="G71" i="1"/>
  <c r="G79" i="1"/>
  <c r="G58" i="1"/>
  <c r="G46" i="1"/>
  <c r="G89" i="1"/>
  <c r="G59" i="1"/>
  <c r="G20" i="1"/>
  <c r="G22" i="1"/>
  <c r="G84" i="1"/>
  <c r="G64" i="1"/>
  <c r="G34" i="1"/>
  <c r="G51" i="1"/>
  <c r="G39" i="1"/>
  <c r="G37" i="1"/>
  <c r="G65" i="1"/>
  <c r="G80" i="1"/>
  <c r="G97" i="1"/>
  <c r="G38" i="1"/>
  <c r="G98" i="1"/>
  <c r="G28" i="1"/>
  <c r="G90" i="1"/>
  <c r="G77" i="1"/>
  <c r="G63" i="1"/>
  <c r="G92" i="1"/>
  <c r="L2" i="1" l="1"/>
</calcChain>
</file>

<file path=xl/sharedStrings.xml><?xml version="1.0" encoding="utf-8"?>
<sst xmlns="http://schemas.openxmlformats.org/spreadsheetml/2006/main" count="2137" uniqueCount="497">
  <si>
    <t>Date</t>
  </si>
  <si>
    <t>Region</t>
  </si>
  <si>
    <t>Product</t>
  </si>
  <si>
    <t>Category</t>
  </si>
  <si>
    <t>Units Sold</t>
  </si>
  <si>
    <t>Unit Price</t>
  </si>
  <si>
    <t>Sales Rep</t>
  </si>
  <si>
    <t>Customer</t>
  </si>
  <si>
    <t>South</t>
  </si>
  <si>
    <t>LAPTOP  A15</t>
  </si>
  <si>
    <t xml:space="preserve">computers  </t>
  </si>
  <si>
    <t xml:space="preserve">  Peter Obi   </t>
  </si>
  <si>
    <t>bright solutions</t>
  </si>
  <si>
    <t>tv  43q</t>
  </si>
  <si>
    <t>ELECTRONICS</t>
  </si>
  <si>
    <t xml:space="preserve">Ifeanyi Okafor  </t>
  </si>
  <si>
    <t>Musa Enterprises</t>
  </si>
  <si>
    <t xml:space="preserve">North	</t>
  </si>
  <si>
    <t>PHONE X12</t>
  </si>
  <si>
    <t>Mobile</t>
  </si>
  <si>
    <t>fola balogun</t>
  </si>
  <si>
    <t xml:space="preserve"> ZAINAB GLOBAL  </t>
  </si>
  <si>
    <t xml:space="preserve"> MONITOR M2 4</t>
  </si>
  <si>
    <t xml:space="preserve">  PERIPHERALS </t>
  </si>
  <si>
    <t>IFEANYI OKAFOR</t>
  </si>
  <si>
    <t xml:space="preserve"> Jid eSuperstores </t>
  </si>
  <si>
    <t>WEST</t>
  </si>
  <si>
    <t xml:space="preserve">  Phone X12 </t>
  </si>
  <si>
    <t xml:space="preserve"> Mobile</t>
  </si>
  <si>
    <t>petero bi</t>
  </si>
  <si>
    <t>chkia  mart</t>
  </si>
  <si>
    <t>east,</t>
  </si>
  <si>
    <t>mobile</t>
  </si>
  <si>
    <t>IFEANYI  OKAFOR</t>
  </si>
  <si>
    <t>Musa  Enterprises</t>
  </si>
  <si>
    <t xml:space="preserve">  tv 43q </t>
  </si>
  <si>
    <t xml:space="preserve"> Electronics</t>
  </si>
  <si>
    <t>AISHA  BELLO</t>
  </si>
  <si>
    <t>Chika  Mart</t>
  </si>
  <si>
    <t xml:space="preserve"> monitor m24  </t>
  </si>
  <si>
    <t>peripherals</t>
  </si>
  <si>
    <t>peter obi</t>
  </si>
  <si>
    <t xml:space="preserve">MUSA ENTERPIRSES </t>
  </si>
  <si>
    <t xml:space="preserve"> CAMERA C100</t>
  </si>
  <si>
    <t xml:space="preserve">PHOTOGRAPHY </t>
  </si>
  <si>
    <t xml:space="preserve"> fola balogun </t>
  </si>
  <si>
    <t xml:space="preserve">BRIGTH  SOLUTIONS </t>
  </si>
  <si>
    <t>West</t>
  </si>
  <si>
    <t>Tablet  T8</t>
  </si>
  <si>
    <t xml:space="preserve">  mobile ,</t>
  </si>
  <si>
    <t xml:space="preserve">  Peter Obi </t>
  </si>
  <si>
    <t>Alpha Retailers</t>
  </si>
  <si>
    <t>south</t>
  </si>
  <si>
    <t xml:space="preserve"> TABLET T8 	</t>
  </si>
  <si>
    <t xml:space="preserve">  Mobile</t>
  </si>
  <si>
    <t>fola  balogun</t>
  </si>
  <si>
    <t>MUSA ENTERPRISES</t>
  </si>
  <si>
    <t>North</t>
  </si>
  <si>
    <t>Speake r S10</t>
  </si>
  <si>
    <t xml:space="preserve"> Audio </t>
  </si>
  <si>
    <t>Aisha Bello</t>
  </si>
  <si>
    <t>Omega Wholesale</t>
  </si>
  <si>
    <t xml:space="preserve">TABLET  T8 </t>
  </si>
  <si>
    <t xml:space="preserve">Mobile </t>
  </si>
  <si>
    <t xml:space="preserve">  AISHA BELLO</t>
  </si>
  <si>
    <t>kelvin tech</t>
  </si>
  <si>
    <t xml:space="preserve"> tv 43q</t>
  </si>
  <si>
    <t>Chinedu  Nwosu</t>
  </si>
  <si>
    <t>EMEKA  TRADERS</t>
  </si>
  <si>
    <t xml:space="preserve"> Speaker S10 </t>
  </si>
  <si>
    <t xml:space="preserve"> Audio .</t>
  </si>
  <si>
    <t xml:space="preserve">ifeanyi okafor  </t>
  </si>
  <si>
    <t>BRIGHT SOLUTIONS</t>
  </si>
  <si>
    <t>monitor m24</t>
  </si>
  <si>
    <t xml:space="preserve"> Peripherals </t>
  </si>
  <si>
    <t xml:space="preserve">chinedu nwosu   </t>
  </si>
  <si>
    <t>tola  ventures</t>
  </si>
  <si>
    <t>East</t>
  </si>
  <si>
    <t xml:space="preserve">Camera  C100 </t>
  </si>
  <si>
    <t xml:space="preserve">Photography </t>
  </si>
  <si>
    <t xml:space="preserve"> Fola Balogun </t>
  </si>
  <si>
    <t>Tablet T8</t>
  </si>
  <si>
    <t xml:space="preserve">  mary john </t>
  </si>
  <si>
    <t xml:space="preserve">  Jide Superstores </t>
  </si>
  <si>
    <t xml:space="preserve"> Camera C100</t>
  </si>
  <si>
    <t>Photography</t>
  </si>
  <si>
    <t>Grace  Amos</t>
  </si>
  <si>
    <t xml:space="preserve">Femi Tech </t>
  </si>
  <si>
    <t>Camera  C100</t>
  </si>
  <si>
    <t>Chinedu Nwosu</t>
  </si>
  <si>
    <t>Laptop A15</t>
  </si>
  <si>
    <t>Computers</t>
  </si>
  <si>
    <t xml:space="preserve">GRACE AMOS </t>
  </si>
  <si>
    <t xml:space="preserve"> camera c100   </t>
  </si>
  <si>
    <t xml:space="preserve">  Photography </t>
  </si>
  <si>
    <t>PETER  OBI</t>
  </si>
  <si>
    <t xml:space="preserve">Emeka Traders </t>
  </si>
  <si>
    <t>EAST</t>
  </si>
  <si>
    <t xml:space="preserve">Tablet T8 </t>
  </si>
  <si>
    <t xml:space="preserve">  mobile.</t>
  </si>
  <si>
    <t>Maryam Ltd</t>
  </si>
  <si>
    <t>north</t>
  </si>
  <si>
    <t xml:space="preserve"> Tablet T8 </t>
  </si>
  <si>
    <t xml:space="preserve">mobile   </t>
  </si>
  <si>
    <t xml:space="preserve"> ifeanyi okafor </t>
  </si>
  <si>
    <t>omega  wholesale</t>
  </si>
  <si>
    <t>Laptop A15.</t>
  </si>
  <si>
    <t xml:space="preserve"> Computers </t>
  </si>
  <si>
    <t xml:space="preserve"> Grace Amos </t>
  </si>
  <si>
    <t xml:space="preserve">femi tech </t>
  </si>
  <si>
    <t xml:space="preserve">Camera C010 </t>
  </si>
  <si>
    <t>photography</t>
  </si>
  <si>
    <t xml:space="preserve">chinedu nwosu </t>
  </si>
  <si>
    <t>North.</t>
  </si>
  <si>
    <t xml:space="preserve"> SPEAKER S10</t>
  </si>
  <si>
    <t xml:space="preserve"> Audio.</t>
  </si>
  <si>
    <t>grace amos</t>
  </si>
  <si>
    <t xml:space="preserve">  Femi Tech </t>
  </si>
  <si>
    <t xml:space="preserve"> Monitor M24 </t>
  </si>
  <si>
    <t>PERIPHERALS</t>
  </si>
  <si>
    <t xml:space="preserve"> Kelvin Tech 	</t>
  </si>
  <si>
    <t xml:space="preserve">TV  43Q </t>
  </si>
  <si>
    <t>elecrtonics</t>
  </si>
  <si>
    <t xml:space="preserve"> zainab global	</t>
  </si>
  <si>
    <t>Electronics</t>
  </si>
  <si>
    <t xml:space="preserve">peter  obi </t>
  </si>
  <si>
    <t xml:space="preserve"> Femi Tech </t>
  </si>
  <si>
    <t>west</t>
  </si>
  <si>
    <t xml:space="preserve">Electronics   </t>
  </si>
  <si>
    <t>Tope &amp; Sons .</t>
  </si>
  <si>
    <t>TABLET T8</t>
  </si>
  <si>
    <t>mobile.</t>
  </si>
  <si>
    <t>alpha retailers</t>
  </si>
  <si>
    <t xml:space="preserve"> PHOTOGRAPHY</t>
  </si>
  <si>
    <t>Peter Obi</t>
  </si>
  <si>
    <t>Alpha  Retailers</t>
  </si>
  <si>
    <t xml:space="preserve">mobile </t>
  </si>
  <si>
    <t xml:space="preserve"> Peter Obi </t>
  </si>
  <si>
    <t>Femi  Tech</t>
  </si>
  <si>
    <t xml:space="preserve"> laptop a15 	</t>
  </si>
  <si>
    <t>Peter Obi.</t>
  </si>
  <si>
    <t xml:space="preserve">Omega Wholesale </t>
  </si>
  <si>
    <t>Monitor  M24</t>
  </si>
  <si>
    <t xml:space="preserve">Peripherals  </t>
  </si>
  <si>
    <t>maryam  ltd</t>
  </si>
  <si>
    <t xml:space="preserve">Monitor  M24 </t>
  </si>
  <si>
    <t xml:space="preserve">Peripherals </t>
  </si>
  <si>
    <t xml:space="preserve"> Mary John </t>
  </si>
  <si>
    <t xml:space="preserve">TOPE  &amp; SONS </t>
  </si>
  <si>
    <t>CAMERA C100</t>
  </si>
  <si>
    <t>PHOTOGRAPHY</t>
  </si>
  <si>
    <t xml:space="preserve"> GRACE AMOS</t>
  </si>
  <si>
    <t xml:space="preserve"> PHONE X12 </t>
  </si>
  <si>
    <t>Mobile.</t>
  </si>
  <si>
    <t xml:space="preserve">  MARY JOHN </t>
  </si>
  <si>
    <t>Chkia  Mart</t>
  </si>
  <si>
    <t>unknown</t>
  </si>
  <si>
    <t xml:space="preserve"> Musa Enterprises </t>
  </si>
  <si>
    <t xml:space="preserve"> mary john 	</t>
  </si>
  <si>
    <t>TOPE &amp; SONS</t>
  </si>
  <si>
    <t>SOUTH</t>
  </si>
  <si>
    <t xml:space="preserve">  PHONE X12 </t>
  </si>
  <si>
    <t>LAPTOP A15</t>
  </si>
  <si>
    <t xml:space="preserve"> Mary John</t>
  </si>
  <si>
    <t xml:space="preserve">Chika  Mart </t>
  </si>
  <si>
    <t xml:space="preserve">SPEAKER  S10 </t>
  </si>
  <si>
    <t>Audio</t>
  </si>
  <si>
    <t xml:space="preserve">ifeanyi okafor </t>
  </si>
  <si>
    <t xml:space="preserve">west	</t>
  </si>
  <si>
    <t xml:space="preserve">Mary John </t>
  </si>
  <si>
    <t xml:space="preserve">KELVIN TECH </t>
  </si>
  <si>
    <t xml:space="preserve">Tablet  T8 </t>
  </si>
  <si>
    <t xml:space="preserve"> mobile,</t>
  </si>
  <si>
    <t>Fola  Balogun</t>
  </si>
  <si>
    <t xml:space="preserve">  ALPHA RETAILERS 	</t>
  </si>
  <si>
    <t>MARY JOHN</t>
  </si>
  <si>
    <t xml:space="preserve">  Chika Mart </t>
  </si>
  <si>
    <t>TV  43Q</t>
  </si>
  <si>
    <t>grace amos,</t>
  </si>
  <si>
    <t xml:space="preserve">Jide Superstores </t>
  </si>
  <si>
    <t xml:space="preserve"> mobile   </t>
  </si>
  <si>
    <t xml:space="preserve"> KELVIN TECH</t>
  </si>
  <si>
    <t>Speaker  S10</t>
  </si>
  <si>
    <t>audio</t>
  </si>
  <si>
    <t xml:space="preserve">  Aisha Bello </t>
  </si>
  <si>
    <t xml:space="preserve"> BRIGHT SOLUTIONS</t>
  </si>
  <si>
    <t>monitor  m24</t>
  </si>
  <si>
    <t xml:space="preserve"> PERIPHERALS</t>
  </si>
  <si>
    <t xml:space="preserve"> fola balogun</t>
  </si>
  <si>
    <t>Femi Tech</t>
  </si>
  <si>
    <t xml:space="preserve"> peripherals </t>
  </si>
  <si>
    <t xml:space="preserve">grace amos </t>
  </si>
  <si>
    <t>jide superstores</t>
  </si>
  <si>
    <t xml:space="preserve">  aisha bello ,</t>
  </si>
  <si>
    <t xml:space="preserve">  Kelvin Tech </t>
  </si>
  <si>
    <t xml:space="preserve"> FEMI TECH</t>
  </si>
  <si>
    <t xml:space="preserve">tv  43q </t>
  </si>
  <si>
    <t>IFEANYI OKAFOR .</t>
  </si>
  <si>
    <t>JIDE SUPERSTORES ,</t>
  </si>
  <si>
    <t xml:space="preserve">phone x12 </t>
  </si>
  <si>
    <t>aisha  bello</t>
  </si>
  <si>
    <t xml:space="preserve"> adewales tores </t>
  </si>
  <si>
    <t xml:space="preserve">Tablet T8	</t>
  </si>
  <si>
    <t>MOBILE</t>
  </si>
  <si>
    <t>Chinedu  Nwosu,</t>
  </si>
  <si>
    <t xml:space="preserve">maryam ltd </t>
  </si>
  <si>
    <t xml:space="preserve">audio </t>
  </si>
  <si>
    <t>Kelvin  Tech</t>
  </si>
  <si>
    <t>Sout	h</t>
  </si>
  <si>
    <t>laptop  a15</t>
  </si>
  <si>
    <t xml:space="preserve">COMPUTERS   </t>
  </si>
  <si>
    <t xml:space="preserve"> aisha bello</t>
  </si>
  <si>
    <t>zainab global</t>
  </si>
  <si>
    <t>east</t>
  </si>
  <si>
    <t xml:space="preserve">  TABLET T8 </t>
  </si>
  <si>
    <t xml:space="preserve"> Mobile </t>
  </si>
  <si>
    <t xml:space="preserve">  aisha bello</t>
  </si>
  <si>
    <t>Emeka  Traders</t>
  </si>
  <si>
    <t>TV 43Q</t>
  </si>
  <si>
    <t>EELCTRONICS</t>
  </si>
  <si>
    <t xml:space="preserve">  CHINEDU NWOSU</t>
  </si>
  <si>
    <t>Tola  Ventures</t>
  </si>
  <si>
    <t xml:space="preserve">  Laptop A15</t>
  </si>
  <si>
    <t xml:space="preserve">Computers  </t>
  </si>
  <si>
    <t xml:space="preserve">  chinedu nwosu </t>
  </si>
  <si>
    <t>CHIKA MART</t>
  </si>
  <si>
    <t>WES	T</t>
  </si>
  <si>
    <t>Aisha Bello ,</t>
  </si>
  <si>
    <t xml:space="preserve">SPEAKER S10	</t>
  </si>
  <si>
    <t>Fola Balogun</t>
  </si>
  <si>
    <t xml:space="preserve">  emeka traders</t>
  </si>
  <si>
    <t>West.</t>
  </si>
  <si>
    <t xml:space="preserve">  Chinedu Nwosu</t>
  </si>
  <si>
    <t xml:space="preserve"> Tola Ventuers </t>
  </si>
  <si>
    <t xml:space="preserve"> MOBILE</t>
  </si>
  <si>
    <t xml:space="preserve">Ifeanyi Okafor </t>
  </si>
  <si>
    <t>CAMERA C100,</t>
  </si>
  <si>
    <t>Photography,</t>
  </si>
  <si>
    <t xml:space="preserve">peter obi </t>
  </si>
  <si>
    <t xml:space="preserve"> Speaker S10</t>
  </si>
  <si>
    <t xml:space="preserve">AUDIO </t>
  </si>
  <si>
    <t xml:space="preserve">  chinedu nwosu</t>
  </si>
  <si>
    <t xml:space="preserve">Kelvin Tech </t>
  </si>
  <si>
    <t xml:space="preserve">Laptop A15 </t>
  </si>
  <si>
    <t xml:space="preserve"> COMPUTERS </t>
  </si>
  <si>
    <t xml:space="preserve">  Grace Amos .</t>
  </si>
  <si>
    <t>Chika Mart</t>
  </si>
  <si>
    <t xml:space="preserve">Chinedu Nwosu </t>
  </si>
  <si>
    <t xml:space="preserve"> TOLA VENTURES</t>
  </si>
  <si>
    <t xml:space="preserve"> Tv 43Q </t>
  </si>
  <si>
    <t xml:space="preserve"> ELECTRONICS	</t>
  </si>
  <si>
    <t xml:space="preserve">Chinedu  Nwosu </t>
  </si>
  <si>
    <t xml:space="preserve">Omega  Wholesale </t>
  </si>
  <si>
    <t xml:space="preserve"> monitor m24</t>
  </si>
  <si>
    <t xml:space="preserve">PERIPHERALS </t>
  </si>
  <si>
    <t>PHONE  X12</t>
  </si>
  <si>
    <t>zianab  global ,</t>
  </si>
  <si>
    <t>Camer aC100</t>
  </si>
  <si>
    <t>AISHA BELLO</t>
  </si>
  <si>
    <t xml:space="preserve"> Jide Superstores   </t>
  </si>
  <si>
    <t xml:space="preserve">audio  </t>
  </si>
  <si>
    <t>GRACE AMOS</t>
  </si>
  <si>
    <t xml:space="preserve">Adewale  Stores  </t>
  </si>
  <si>
    <t>tv 43q</t>
  </si>
  <si>
    <t xml:space="preserve">  Electronics </t>
  </si>
  <si>
    <t xml:space="preserve">  emeka tarders</t>
  </si>
  <si>
    <t>Norht</t>
  </si>
  <si>
    <t xml:space="preserve">  tv 43q</t>
  </si>
  <si>
    <t xml:space="preserve">  fola balogun</t>
  </si>
  <si>
    <t>Emeka Tradesr</t>
  </si>
  <si>
    <t xml:space="preserve">Tv 43Q  </t>
  </si>
  <si>
    <t xml:space="preserve"> ELECTRONICS </t>
  </si>
  <si>
    <t>ifeanyi  okafor</t>
  </si>
  <si>
    <t>SPEAKER S10</t>
  </si>
  <si>
    <t xml:space="preserve">  Audio </t>
  </si>
  <si>
    <t xml:space="preserve">aisha bello   </t>
  </si>
  <si>
    <t>TABLET  T8</t>
  </si>
  <si>
    <t>Mobile .</t>
  </si>
  <si>
    <t xml:space="preserve"> FOLA BALOGUN  </t>
  </si>
  <si>
    <t xml:space="preserve"> Musa Enterprises</t>
  </si>
  <si>
    <t>monitor m24,</t>
  </si>
  <si>
    <t xml:space="preserve"> Peripherals</t>
  </si>
  <si>
    <t xml:space="preserve">Grace Amos </t>
  </si>
  <si>
    <t>femi tech</t>
  </si>
  <si>
    <t xml:space="preserve"> adewale stores </t>
  </si>
  <si>
    <t xml:space="preserve"> COMPUTERS</t>
  </si>
  <si>
    <t xml:space="preserve"> Chinedu Nwosu </t>
  </si>
  <si>
    <t>MONITOR  M24</t>
  </si>
  <si>
    <t xml:space="preserve">Perpiherals  </t>
  </si>
  <si>
    <t xml:space="preserve">laptop a15 </t>
  </si>
  <si>
    <t xml:space="preserve"> Comupters</t>
  </si>
  <si>
    <t xml:space="preserve"> AISHA BELLO </t>
  </si>
  <si>
    <t xml:space="preserve">OMEGA WHOLESALE </t>
  </si>
  <si>
    <t xml:space="preserve">Aisha Bello </t>
  </si>
  <si>
    <t xml:space="preserve">Alpha Retailers </t>
  </si>
  <si>
    <t xml:space="preserve"> Laptop A15</t>
  </si>
  <si>
    <t>Omega  Wholesale</t>
  </si>
  <si>
    <t xml:space="preserve">Laptop  A15 	</t>
  </si>
  <si>
    <t xml:space="preserve">  Computers </t>
  </si>
  <si>
    <t xml:space="preserve">IFEANYI O KAFOR 	</t>
  </si>
  <si>
    <t>femi  tech ,</t>
  </si>
  <si>
    <t xml:space="preserve">Speaker  S10 </t>
  </si>
  <si>
    <t>AUDIO</t>
  </si>
  <si>
    <t xml:space="preserve"> fola balogun,</t>
  </si>
  <si>
    <t>FEMI  TECH</t>
  </si>
  <si>
    <t>EAST ,</t>
  </si>
  <si>
    <t xml:space="preserve">Laptop A15  </t>
  </si>
  <si>
    <t xml:space="preserve"> COMPUTRES</t>
  </si>
  <si>
    <t>Mary  John</t>
  </si>
  <si>
    <t xml:space="preserve">TOEP &amp; SONS </t>
  </si>
  <si>
    <t>Camera C100,</t>
  </si>
  <si>
    <t>Mary John</t>
  </si>
  <si>
    <t xml:space="preserve"> Kelvin Tech</t>
  </si>
  <si>
    <t xml:space="preserve">GRACE AMOS   </t>
  </si>
  <si>
    <t xml:space="preserve"> MUSA ENTERPRISES </t>
  </si>
  <si>
    <t xml:space="preserve">Camera C100   </t>
  </si>
  <si>
    <t xml:space="preserve">  Photography</t>
  </si>
  <si>
    <t xml:space="preserve"> MARY JOHN .</t>
  </si>
  <si>
    <t xml:space="preserve">Bright Solutions  </t>
  </si>
  <si>
    <t>audio .</t>
  </si>
  <si>
    <t xml:space="preserve">  Peter Obi</t>
  </si>
  <si>
    <t xml:space="preserve"> TOLA VENTURES </t>
  </si>
  <si>
    <t xml:space="preserve">north	</t>
  </si>
  <si>
    <t xml:space="preserve">camera  c100 </t>
  </si>
  <si>
    <t xml:space="preserve">Photography  </t>
  </si>
  <si>
    <t xml:space="preserve"> IFEANYI OKAFOR </t>
  </si>
  <si>
    <t xml:space="preserve">  emeka traders </t>
  </si>
  <si>
    <t xml:space="preserve"> peter obi </t>
  </si>
  <si>
    <t>femi  tech</t>
  </si>
  <si>
    <t xml:space="preserve">TABLET T8 </t>
  </si>
  <si>
    <t xml:space="preserve"> Mobile  </t>
  </si>
  <si>
    <t xml:space="preserve">grace amos	</t>
  </si>
  <si>
    <t>ALPHA RETAILERS</t>
  </si>
  <si>
    <t>Capstone project</t>
  </si>
  <si>
    <t>Praise Odunayo</t>
  </si>
  <si>
    <t>Aba Joel</t>
  </si>
  <si>
    <t>Job Austin</t>
  </si>
  <si>
    <t>Peripherals</t>
  </si>
  <si>
    <t>Elecrtonics</t>
  </si>
  <si>
    <t>Perpiherals</t>
  </si>
  <si>
    <t>Comupters</t>
  </si>
  <si>
    <t>Ifeanyi Okafor</t>
  </si>
  <si>
    <t>Grace Amos</t>
  </si>
  <si>
    <t>Bright Solutions</t>
  </si>
  <si>
    <t>Zainab Global</t>
  </si>
  <si>
    <t>Musa Enterpirses</t>
  </si>
  <si>
    <t>Kelvin Tech</t>
  </si>
  <si>
    <t>Emeka Traders</t>
  </si>
  <si>
    <t>Tola Ventures</t>
  </si>
  <si>
    <t>Jide Superstores</t>
  </si>
  <si>
    <t>Tope &amp; Sons</t>
  </si>
  <si>
    <t>Adewale Stores</t>
  </si>
  <si>
    <t>Tv 43Q</t>
  </si>
  <si>
    <t>Phone X12</t>
  </si>
  <si>
    <t>Monitor M24</t>
  </si>
  <si>
    <t>Camera C100</t>
  </si>
  <si>
    <t>Speaker S10</t>
  </si>
  <si>
    <t xml:space="preserve">East </t>
  </si>
  <si>
    <t>Total Price</t>
  </si>
  <si>
    <t>Total revenue</t>
  </si>
  <si>
    <t xml:space="preserve">Region </t>
  </si>
  <si>
    <t xml:space="preserve"> EAST</t>
  </si>
  <si>
    <t>17-MAY-2025</t>
  </si>
  <si>
    <t xml:space="preserve">South </t>
  </si>
  <si>
    <t xml:space="preserve">28-jan-2025   </t>
  </si>
  <si>
    <t xml:space="preserve">  26-May-2025 </t>
  </si>
  <si>
    <t xml:space="preserve"> 06-MAY-2025 </t>
  </si>
  <si>
    <t xml:space="preserve"> WEST </t>
  </si>
  <si>
    <t>10-Feb-2025</t>
  </si>
  <si>
    <t xml:space="preserve">west  </t>
  </si>
  <si>
    <t xml:space="preserve"> 01-FEB-2025 </t>
  </si>
  <si>
    <t xml:space="preserve"> East </t>
  </si>
  <si>
    <t>28-Jun-2025</t>
  </si>
  <si>
    <t xml:space="preserve"> 18-Apr-2025 </t>
  </si>
  <si>
    <t xml:space="preserve"> 25-Feb-2025</t>
  </si>
  <si>
    <t xml:space="preserve">  29-Apr-2025</t>
  </si>
  <si>
    <t xml:space="preserve">02-Feb-2025  </t>
  </si>
  <si>
    <t xml:space="preserve"> eats</t>
  </si>
  <si>
    <t xml:space="preserve">15-Apr-2025  </t>
  </si>
  <si>
    <t xml:space="preserve">SOUTH </t>
  </si>
  <si>
    <t>12-Jun-2025</t>
  </si>
  <si>
    <t xml:space="preserve">East  </t>
  </si>
  <si>
    <t xml:space="preserve">  31-JAN-2025 </t>
  </si>
  <si>
    <t>02-FEB-2025</t>
  </si>
  <si>
    <t xml:space="preserve">  West</t>
  </si>
  <si>
    <t xml:space="preserve">25-May-2025 </t>
  </si>
  <si>
    <t xml:space="preserve">26-FEB-2025    </t>
  </si>
  <si>
    <t xml:space="preserve"> North</t>
  </si>
  <si>
    <t>06-Apr-2025 .</t>
  </si>
  <si>
    <t xml:space="preserve"> EAST </t>
  </si>
  <si>
    <t>24-FEB-2025</t>
  </si>
  <si>
    <t xml:space="preserve">  24-mar-2025</t>
  </si>
  <si>
    <t xml:space="preserve">  28-May-2025 </t>
  </si>
  <si>
    <t xml:space="preserve">  12-MAY-2025</t>
  </si>
  <si>
    <t xml:space="preserve">  West </t>
  </si>
  <si>
    <t xml:space="preserve">  11-MAY-2025 </t>
  </si>
  <si>
    <t xml:space="preserve"> East</t>
  </si>
  <si>
    <t xml:space="preserve"> 16-JAN-2025 </t>
  </si>
  <si>
    <t>10-May-2025</t>
  </si>
  <si>
    <t>01-feb-2025</t>
  </si>
  <si>
    <t xml:space="preserve">  South </t>
  </si>
  <si>
    <t xml:space="preserve">06-feb-2025 </t>
  </si>
  <si>
    <t>17-JUN-2025</t>
  </si>
  <si>
    <t xml:space="preserve">  09-Jan-2025 </t>
  </si>
  <si>
    <t xml:space="preserve">29-Jun-2025 </t>
  </si>
  <si>
    <t xml:space="preserve">North  </t>
  </si>
  <si>
    <t xml:space="preserve">1-9mar-2025 </t>
  </si>
  <si>
    <t>06-Feb-2025</t>
  </si>
  <si>
    <t xml:space="preserve">06-Apr-2025  </t>
  </si>
  <si>
    <t xml:space="preserve"> 07-Feb-2025</t>
  </si>
  <si>
    <t xml:space="preserve">  07-mar-2025</t>
  </si>
  <si>
    <t xml:space="preserve"> east </t>
  </si>
  <si>
    <t xml:space="preserve">  07-May-2025</t>
  </si>
  <si>
    <t xml:space="preserve">  North</t>
  </si>
  <si>
    <t xml:space="preserve"> 30-Jun-2025 </t>
  </si>
  <si>
    <t xml:space="preserve">NORTH  </t>
  </si>
  <si>
    <t>13-Jan-2025</t>
  </si>
  <si>
    <t xml:space="preserve">15-JUN-2025  </t>
  </si>
  <si>
    <t xml:space="preserve">south </t>
  </si>
  <si>
    <t>28-Feb-2025</t>
  </si>
  <si>
    <t xml:space="preserve">  east</t>
  </si>
  <si>
    <t>19-FEB-2025</t>
  </si>
  <si>
    <t>03-mar-2025</t>
  </si>
  <si>
    <t xml:space="preserve">  East</t>
  </si>
  <si>
    <t>01-APR-2025</t>
  </si>
  <si>
    <t xml:space="preserve"> west </t>
  </si>
  <si>
    <t xml:space="preserve">07-APR-2025 </t>
  </si>
  <si>
    <t xml:space="preserve">South  </t>
  </si>
  <si>
    <t>26-Feb-2025</t>
  </si>
  <si>
    <t>01-jun-2025</t>
  </si>
  <si>
    <t xml:space="preserve">14-jan-2025  </t>
  </si>
  <si>
    <t xml:space="preserve"> West </t>
  </si>
  <si>
    <t xml:space="preserve">22-feb-2025 	</t>
  </si>
  <si>
    <t xml:space="preserve">24-amr-2025	</t>
  </si>
  <si>
    <t xml:space="preserve">  WEST</t>
  </si>
  <si>
    <t xml:space="preserve">27-Jan-2025 </t>
  </si>
  <si>
    <t>04-jna-2025</t>
  </si>
  <si>
    <t xml:space="preserve"> West</t>
  </si>
  <si>
    <t xml:space="preserve">  08-mar-2025</t>
  </si>
  <si>
    <t xml:space="preserve">north  </t>
  </si>
  <si>
    <t xml:space="preserve"> 23-JAN-2025</t>
  </si>
  <si>
    <t>16-Jan-2025</t>
  </si>
  <si>
    <t xml:space="preserve"> EAST	</t>
  </si>
  <si>
    <t>05F-eb-2025</t>
  </si>
  <si>
    <t xml:space="preserve"> 06-jan-2025  </t>
  </si>
  <si>
    <t xml:space="preserve">  south</t>
  </si>
  <si>
    <t xml:space="preserve">  south 	</t>
  </si>
  <si>
    <t xml:space="preserve"> 14-Jan-2025 </t>
  </si>
  <si>
    <t xml:space="preserve"> EAST,</t>
  </si>
  <si>
    <t xml:space="preserve">02-MAY-2025	</t>
  </si>
  <si>
    <t xml:space="preserve">17-Jun-2205  </t>
  </si>
  <si>
    <t xml:space="preserve"> 13-Jan-2025 </t>
  </si>
  <si>
    <t xml:space="preserve">02-Jun-2025 </t>
  </si>
  <si>
    <t>16-Feb-2025</t>
  </si>
  <si>
    <t>14-APR-2025.</t>
  </si>
  <si>
    <t xml:space="preserve"> 06-Jan-2025</t>
  </si>
  <si>
    <t xml:space="preserve">11-JAN-2025 </t>
  </si>
  <si>
    <t xml:space="preserve"> south,</t>
  </si>
  <si>
    <t xml:space="preserve"> 14-jan-2025 </t>
  </si>
  <si>
    <t>29-May-2025</t>
  </si>
  <si>
    <t xml:space="preserve">15-MAR-2025 </t>
  </si>
  <si>
    <t>26-Mar-2025</t>
  </si>
  <si>
    <t xml:space="preserve">EAST  </t>
  </si>
  <si>
    <t>12-jan-2025</t>
  </si>
  <si>
    <t xml:space="preserve"> NORTH</t>
  </si>
  <si>
    <t xml:space="preserve"> 23-Jan-2025 </t>
  </si>
  <si>
    <t xml:space="preserve">  05-May-2025 </t>
  </si>
  <si>
    <t>19-May-2025</t>
  </si>
  <si>
    <t xml:space="preserve"> SOUTH </t>
  </si>
  <si>
    <t xml:space="preserve"> 04A-pr-2025</t>
  </si>
  <si>
    <t xml:space="preserve">  EAST</t>
  </si>
  <si>
    <t xml:space="preserve"> 26-feb-2025</t>
  </si>
  <si>
    <t xml:space="preserve"> South</t>
  </si>
  <si>
    <t xml:space="preserve"> 03-jun-2025</t>
  </si>
  <si>
    <t xml:space="preserve">05-apr-2025 </t>
  </si>
  <si>
    <t>30-JAN-2025</t>
  </si>
  <si>
    <t xml:space="preserve"> 31-Jan-2025 </t>
  </si>
  <si>
    <t xml:space="preserve"> North </t>
  </si>
  <si>
    <t xml:space="preserve">27-MAY-0225 </t>
  </si>
  <si>
    <t>08-pAr-2025</t>
  </si>
  <si>
    <t xml:space="preserve"> 13-FEB-2025 </t>
  </si>
  <si>
    <t>09-aMr-2025</t>
  </si>
  <si>
    <t>20-FEB-2052</t>
  </si>
  <si>
    <t xml:space="preserve">  west</t>
  </si>
  <si>
    <t>19-Feb-2025</t>
  </si>
  <si>
    <t xml:space="preserve">10-Apr-2025 </t>
  </si>
  <si>
    <t xml:space="preserve"> 21-May-2025</t>
  </si>
  <si>
    <t>26-jun-2025</t>
  </si>
  <si>
    <t xml:space="preserve"> 20-feb-2025</t>
  </si>
  <si>
    <t xml:space="preserve">  South</t>
  </si>
  <si>
    <t xml:space="preserve">  27-Ju-n2025</t>
  </si>
  <si>
    <t xml:space="preserve"> 05-Feb-2025 </t>
  </si>
  <si>
    <t xml:space="preserve">  07-Jun-2025</t>
  </si>
  <si>
    <t xml:space="preserve">  13-May-2025 </t>
  </si>
  <si>
    <t xml:space="preserve"> WEST</t>
  </si>
  <si>
    <t>Zianab Global</t>
  </si>
  <si>
    <t>Jide superstores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</si>
</sst>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[$₦-467]_-;\-* #,##0\ [$₦-467]_-;_-* &quot;-&quot;??\ [$₦-467]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5" fontId="0" fillId="0" borderId="1" xfId="0" applyNumberFormat="1" applyBorder="1"/>
    <xf numFmtId="0" fontId="0" fillId="3" borderId="0" xfId="0" applyFill="1"/>
    <xf numFmtId="0" fontId="2" fillId="3" borderId="2" xfId="0" applyFont="1" applyFill="1" applyBorder="1"/>
    <xf numFmtId="0" fontId="3" fillId="3" borderId="2" xfId="0" applyFont="1" applyFill="1" applyBorder="1"/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164" fontId="0" fillId="0" borderId="0" xfId="0" applyNumberFormat="1"/>
    <xf numFmtId="164" fontId="0" fillId="0" borderId="1" xfId="1" applyNumberFormat="1" applyFont="1" applyBorder="1"/>
    <xf numFmtId="164" fontId="0" fillId="0" borderId="0" xfId="1" applyNumberFormat="1" applyFont="1"/>
    <xf numFmtId="0" fontId="1" fillId="2" borderId="3" xfId="0" applyFont="1" applyFill="1" applyBorder="1" applyAlignment="1">
      <alignment horizontal="center" vertical="top"/>
    </xf>
    <xf numFmtId="164" fontId="1" fillId="2" borderId="3" xfId="0" applyNumberFormat="1" applyFont="1" applyFill="1" applyBorder="1" applyAlignment="1">
      <alignment horizontal="center" vertical="top"/>
    </xf>
    <xf numFmtId="15" fontId="0" fillId="0" borderId="4" xfId="0" applyNumberFormat="1" applyBorder="1"/>
    <xf numFmtId="0" fontId="0" fillId="0" borderId="5" xfId="0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15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164" fontId="0" fillId="0" borderId="9" xfId="1" applyNumberFormat="1" applyFont="1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13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[$₦-467]_-;\-* #,##0\ [$₦-467]_-;_-* &quot;-&quot;??\ [$₦-467]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_-* #,##0\ [$₦-467]_-;\-* #,##0\ [$₦-467]_-;_-* &quot;-&quot;??\ [$₦-467]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0" formatCode="dd\-mmm\-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25400</xdr:rowOff>
    </xdr:from>
    <xdr:to>
      <xdr:col>14</xdr:col>
      <xdr:colOff>19050</xdr:colOff>
      <xdr:row>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BDE3F9-747E-F89B-1A42-02FEE20405A0}"/>
            </a:ext>
          </a:extLst>
        </xdr:cNvPr>
        <xdr:cNvSpPr txBox="1"/>
      </xdr:nvSpPr>
      <xdr:spPr>
        <a:xfrm>
          <a:off x="241300" y="825500"/>
          <a:ext cx="7943850" cy="11049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ysDash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D-Lite Electronics Ltd. operates across four major regions in Nigeria: North, South, East, and West. The company’s sales data is inconsistent and often contains errors. As a Data Analyst, your task is to clean, analyse, and visualise the data to support management decision-making leveraging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the concepts learnt during the training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6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6CBBA-A8DA-4F24-B72B-E0062103629E}" name="Table1" displayName="Table1" ref="A1:I101" totalsRowShown="0" headerRowDxfId="12" headerRowBorderDxfId="11" tableBorderDxfId="10" totalsRowBorderDxfId="9">
  <autoFilter ref="A1:I101" xr:uid="{E156CBBA-A8DA-4F24-B72B-E0062103629E}"/>
  <tableColumns count="9">
    <tableColumn id="1" xr3:uid="{84A29FB1-4D40-4964-9417-79BA081293AF}" name="Date" dataDxfId="8"/>
    <tableColumn id="2" xr3:uid="{776FCC59-B62A-4B45-978D-F0ADDC2F2391}" name="Region" dataDxfId="7"/>
    <tableColumn id="3" xr3:uid="{2CC64BF4-E0DB-48A9-B4F7-38287FD61DEC}" name="Product" dataDxfId="6"/>
    <tableColumn id="4" xr3:uid="{C1A8B72F-2D0D-4E55-84BD-A1C0E22FB0B6}" name="Category" dataDxfId="5"/>
    <tableColumn id="5" xr3:uid="{567453B1-E94E-4D85-A209-D2B220EC6852}" name="Units Sold" dataDxfId="4"/>
    <tableColumn id="6" xr3:uid="{AC8AF972-4352-4596-A0DD-1597C4533D0F}" name="Unit Price" dataDxfId="3"/>
    <tableColumn id="7" xr3:uid="{E267478B-64BA-4732-ADA3-8105BEB78A00}" name="Total Price" dataDxfId="2" dataCellStyle="Comma">
      <calculatedColumnFormula>PRODUCT(E2,F2)</calculatedColumnFormula>
    </tableColumn>
    <tableColumn id="8" xr3:uid="{17AE3522-1A43-46FB-B067-8264301BE095}" name="Sales Rep" dataDxfId="1"/>
    <tableColumn id="9" xr3:uid="{9C576A20-4A37-4E49-9D9B-B3039E4712AC}" name="Custom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AE3-4DFA-46B3-8FA3-6F0C05532777}">
  <dimension ref="A1:O15"/>
  <sheetViews>
    <sheetView workbookViewId="0"/>
  </sheetViews>
  <sheetFormatPr defaultColWidth="0" defaultRowHeight="14.5" zeroHeight="1" x14ac:dyDescent="0.35"/>
  <cols>
    <col min="1" max="1" width="3.453125" style="4" customWidth="1"/>
    <col min="2" max="15" width="8.7265625" style="4" customWidth="1"/>
    <col min="16" max="16384" width="8.7265625" style="4" hidden="1"/>
  </cols>
  <sheetData>
    <row r="1" spans="2:14" x14ac:dyDescent="0.35"/>
    <row r="2" spans="2:14" ht="34" thickBot="1" x14ac:dyDescent="0.8">
      <c r="B2" s="5" t="s">
        <v>333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35"/>
    <row r="4" spans="2:14" x14ac:dyDescent="0.35"/>
    <row r="5" spans="2:14" x14ac:dyDescent="0.35"/>
    <row r="6" spans="2:14" x14ac:dyDescent="0.35"/>
    <row r="7" spans="2:14" x14ac:dyDescent="0.35"/>
    <row r="8" spans="2:14" x14ac:dyDescent="0.35"/>
    <row r="9" spans="2:14" x14ac:dyDescent="0.35"/>
    <row r="10" spans="2:14" x14ac:dyDescent="0.35"/>
    <row r="11" spans="2:14" x14ac:dyDescent="0.35"/>
    <row r="12" spans="2:14" x14ac:dyDescent="0.35"/>
    <row r="13" spans="2:14" x14ac:dyDescent="0.35"/>
    <row r="14" spans="2:14" x14ac:dyDescent="0.35"/>
    <row r="15" spans="2:14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897D-33F4-453F-A5ED-7389CFF71936}">
  <dimension ref="A1:K101"/>
  <sheetViews>
    <sheetView workbookViewId="0">
      <selection activeCell="I17" sqref="I17"/>
    </sheetView>
  </sheetViews>
  <sheetFormatPr defaultRowHeight="14.5" x14ac:dyDescent="0.35"/>
  <cols>
    <col min="2" max="2" width="13.453125" bestFit="1" customWidth="1"/>
    <col min="6" max="6" width="14.36328125" bestFit="1" customWidth="1"/>
    <col min="7" max="7" width="14.1796875" bestFit="1" customWidth="1"/>
    <col min="8" max="8" width="9.1796875" bestFit="1" customWidth="1"/>
    <col min="10" max="10" width="16.6328125" bestFit="1" customWidth="1"/>
  </cols>
  <sheetData>
    <row r="1" spans="1:11" x14ac:dyDescent="0.35">
      <c r="A1" s="2" t="s">
        <v>0</v>
      </c>
      <c r="B1" s="2" t="s">
        <v>0</v>
      </c>
      <c r="C1" s="2"/>
      <c r="D1" s="2" t="s">
        <v>360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35">
      <c r="B2" s="3">
        <v>45821</v>
      </c>
      <c r="C2" s="3"/>
      <c r="D2" s="3"/>
      <c r="E2" s="1" t="s">
        <v>8</v>
      </c>
      <c r="F2" s="1" t="s">
        <v>9</v>
      </c>
      <c r="G2" s="1" t="s">
        <v>10</v>
      </c>
      <c r="H2" s="1">
        <v>8</v>
      </c>
      <c r="I2" s="1">
        <v>2500000</v>
      </c>
      <c r="J2" s="1" t="s">
        <v>11</v>
      </c>
      <c r="K2" s="1" t="s">
        <v>12</v>
      </c>
    </row>
    <row r="3" spans="1:11" x14ac:dyDescent="0.35">
      <c r="B3" s="3">
        <v>45755</v>
      </c>
      <c r="C3" s="3"/>
      <c r="D3" s="3"/>
      <c r="E3" s="1" t="s">
        <v>361</v>
      </c>
      <c r="F3" s="1" t="s">
        <v>13</v>
      </c>
      <c r="G3" s="1" t="s">
        <v>14</v>
      </c>
      <c r="H3" s="1">
        <v>6</v>
      </c>
      <c r="I3" s="1">
        <v>350000</v>
      </c>
      <c r="J3" s="1" t="s">
        <v>15</v>
      </c>
      <c r="K3" s="1" t="s">
        <v>16</v>
      </c>
    </row>
    <row r="4" spans="1:11" x14ac:dyDescent="0.35">
      <c r="B4" s="3">
        <v>45686</v>
      </c>
      <c r="C4" s="3"/>
      <c r="D4" s="3"/>
      <c r="E4" s="1" t="s">
        <v>17</v>
      </c>
      <c r="F4" s="1" t="s">
        <v>18</v>
      </c>
      <c r="G4" s="1" t="s">
        <v>19</v>
      </c>
      <c r="H4" s="1">
        <v>14</v>
      </c>
      <c r="I4" s="1">
        <v>180000</v>
      </c>
      <c r="J4" s="1" t="s">
        <v>20</v>
      </c>
      <c r="K4" s="1" t="s">
        <v>21</v>
      </c>
    </row>
    <row r="5" spans="1:11" x14ac:dyDescent="0.35">
      <c r="B5" s="1" t="s">
        <v>362</v>
      </c>
      <c r="C5" s="1"/>
      <c r="D5" s="1"/>
      <c r="E5" s="1" t="s">
        <v>363</v>
      </c>
      <c r="F5" s="1" t="s">
        <v>22</v>
      </c>
      <c r="G5" s="1" t="s">
        <v>23</v>
      </c>
      <c r="H5" s="1">
        <v>18</v>
      </c>
      <c r="I5" s="1">
        <v>65000</v>
      </c>
      <c r="J5" s="1" t="s">
        <v>24</v>
      </c>
      <c r="K5" s="1" t="s">
        <v>25</v>
      </c>
    </row>
    <row r="6" spans="1:11" x14ac:dyDescent="0.35">
      <c r="B6" s="1" t="s">
        <v>364</v>
      </c>
      <c r="C6" s="1"/>
      <c r="D6" s="1"/>
      <c r="E6" s="1" t="s">
        <v>26</v>
      </c>
      <c r="F6" s="1" t="s">
        <v>27</v>
      </c>
      <c r="G6" s="1" t="s">
        <v>28</v>
      </c>
      <c r="H6" s="1">
        <v>5</v>
      </c>
      <c r="I6" s="1">
        <v>180000</v>
      </c>
      <c r="J6" s="1" t="s">
        <v>29</v>
      </c>
      <c r="K6" s="1" t="s">
        <v>30</v>
      </c>
    </row>
    <row r="7" spans="1:11" x14ac:dyDescent="0.35">
      <c r="B7" s="1" t="s">
        <v>365</v>
      </c>
      <c r="C7" s="1"/>
      <c r="D7" s="1"/>
      <c r="E7" s="1" t="s">
        <v>31</v>
      </c>
      <c r="F7" s="1" t="s">
        <v>27</v>
      </c>
      <c r="G7" s="1" t="s">
        <v>32</v>
      </c>
      <c r="H7" s="1">
        <v>19</v>
      </c>
      <c r="I7" s="1">
        <v>157427</v>
      </c>
      <c r="J7" s="1" t="s">
        <v>33</v>
      </c>
      <c r="K7" s="1" t="s">
        <v>34</v>
      </c>
    </row>
    <row r="8" spans="1:11" x14ac:dyDescent="0.35">
      <c r="B8" s="1" t="s">
        <v>366</v>
      </c>
      <c r="C8" s="1"/>
      <c r="D8" s="1"/>
      <c r="E8" s="1" t="s">
        <v>367</v>
      </c>
      <c r="F8" s="1" t="s">
        <v>35</v>
      </c>
      <c r="G8" s="1" t="s">
        <v>36</v>
      </c>
      <c r="H8" s="1">
        <v>3</v>
      </c>
      <c r="I8" s="1">
        <v>350000</v>
      </c>
      <c r="J8" s="1" t="s">
        <v>37</v>
      </c>
      <c r="K8" s="1" t="s">
        <v>38</v>
      </c>
    </row>
    <row r="9" spans="1:11" x14ac:dyDescent="0.35">
      <c r="B9" s="1" t="s">
        <v>368</v>
      </c>
      <c r="C9" s="1"/>
      <c r="D9" s="1"/>
      <c r="E9" s="1" t="s">
        <v>369</v>
      </c>
      <c r="F9" s="1" t="s">
        <v>39</v>
      </c>
      <c r="G9" s="1" t="s">
        <v>40</v>
      </c>
      <c r="H9" s="1">
        <v>2</v>
      </c>
      <c r="I9" s="1">
        <v>65000</v>
      </c>
      <c r="J9" s="1" t="s">
        <v>41</v>
      </c>
      <c r="K9" s="1" t="s">
        <v>42</v>
      </c>
    </row>
    <row r="10" spans="1:11" x14ac:dyDescent="0.35">
      <c r="B10" s="1" t="s">
        <v>370</v>
      </c>
      <c r="C10" s="1"/>
      <c r="D10" s="1"/>
      <c r="E10" s="1" t="s">
        <v>371</v>
      </c>
      <c r="F10" s="1" t="s">
        <v>43</v>
      </c>
      <c r="G10" s="1" t="s">
        <v>44</v>
      </c>
      <c r="H10" s="1">
        <v>14</v>
      </c>
      <c r="I10" s="1">
        <v>175000</v>
      </c>
      <c r="J10" s="1" t="s">
        <v>45</v>
      </c>
      <c r="K10" s="1" t="s">
        <v>46</v>
      </c>
    </row>
    <row r="11" spans="1:11" x14ac:dyDescent="0.35">
      <c r="B11" s="1" t="s">
        <v>372</v>
      </c>
      <c r="C11" s="1"/>
      <c r="D11" s="1"/>
      <c r="E11" s="1" t="s">
        <v>47</v>
      </c>
      <c r="F11" s="1" t="s">
        <v>48</v>
      </c>
      <c r="G11" s="1" t="s">
        <v>49</v>
      </c>
      <c r="H11" s="1">
        <v>4</v>
      </c>
      <c r="I11" s="1">
        <v>150000</v>
      </c>
      <c r="J11" s="1" t="s">
        <v>50</v>
      </c>
      <c r="K11" s="1" t="s">
        <v>51</v>
      </c>
    </row>
    <row r="12" spans="1:11" x14ac:dyDescent="0.35">
      <c r="B12" s="1" t="s">
        <v>373</v>
      </c>
      <c r="C12" s="1"/>
      <c r="D12" s="1"/>
      <c r="E12" s="1" t="s">
        <v>52</v>
      </c>
      <c r="F12" s="1" t="s">
        <v>53</v>
      </c>
      <c r="G12" s="1" t="s">
        <v>54</v>
      </c>
      <c r="H12" s="1">
        <v>20</v>
      </c>
      <c r="I12" s="1">
        <v>150000</v>
      </c>
      <c r="J12" s="1" t="s">
        <v>55</v>
      </c>
      <c r="K12" s="1" t="s">
        <v>56</v>
      </c>
    </row>
    <row r="13" spans="1:11" x14ac:dyDescent="0.35">
      <c r="B13" s="1" t="s">
        <v>374</v>
      </c>
      <c r="C13" s="1"/>
      <c r="D13" s="1"/>
      <c r="E13" s="1" t="s">
        <v>57</v>
      </c>
      <c r="F13" s="1" t="s">
        <v>58</v>
      </c>
      <c r="G13" s="1" t="s">
        <v>59</v>
      </c>
      <c r="H13" s="1">
        <v>6</v>
      </c>
      <c r="I13" s="1">
        <v>85000</v>
      </c>
      <c r="J13" s="1" t="s">
        <v>60</v>
      </c>
      <c r="K13" s="1" t="s">
        <v>61</v>
      </c>
    </row>
    <row r="14" spans="1:11" x14ac:dyDescent="0.35">
      <c r="B14" s="1" t="s">
        <v>375</v>
      </c>
      <c r="C14" s="1"/>
      <c r="D14" s="1"/>
      <c r="E14" s="1" t="s">
        <v>367</v>
      </c>
      <c r="F14" s="1" t="s">
        <v>62</v>
      </c>
      <c r="G14" s="1" t="s">
        <v>63</v>
      </c>
      <c r="H14" s="1">
        <v>1</v>
      </c>
      <c r="I14" s="1">
        <v>150000</v>
      </c>
      <c r="J14" s="1" t="s">
        <v>64</v>
      </c>
      <c r="K14" s="1" t="s">
        <v>65</v>
      </c>
    </row>
    <row r="15" spans="1:11" x14ac:dyDescent="0.35">
      <c r="B15" s="1" t="s">
        <v>376</v>
      </c>
      <c r="C15" s="1"/>
      <c r="D15" s="1"/>
      <c r="E15" s="1" t="s">
        <v>377</v>
      </c>
      <c r="F15" s="1" t="s">
        <v>66</v>
      </c>
      <c r="G15" s="1" t="s">
        <v>14</v>
      </c>
      <c r="H15" s="1">
        <v>18</v>
      </c>
      <c r="I15" s="1">
        <v>35000</v>
      </c>
      <c r="J15" s="1" t="s">
        <v>67</v>
      </c>
      <c r="K15" s="1" t="s">
        <v>68</v>
      </c>
    </row>
    <row r="16" spans="1:11" x14ac:dyDescent="0.35">
      <c r="B16" s="1" t="s">
        <v>378</v>
      </c>
      <c r="C16" s="1"/>
      <c r="D16" s="1"/>
      <c r="E16" s="1" t="s">
        <v>379</v>
      </c>
      <c r="F16" s="1" t="s">
        <v>69</v>
      </c>
      <c r="G16" s="1" t="s">
        <v>70</v>
      </c>
      <c r="H16" s="1">
        <v>2</v>
      </c>
      <c r="I16" s="1">
        <v>85000</v>
      </c>
      <c r="J16" s="1" t="s">
        <v>71</v>
      </c>
      <c r="K16" s="1" t="s">
        <v>72</v>
      </c>
    </row>
    <row r="17" spans="2:11" x14ac:dyDescent="0.35">
      <c r="B17" s="1" t="s">
        <v>380</v>
      </c>
      <c r="C17" s="1"/>
      <c r="D17" s="1"/>
      <c r="E17" s="1" t="s">
        <v>381</v>
      </c>
      <c r="F17" s="1" t="s">
        <v>73</v>
      </c>
      <c r="G17" s="1" t="s">
        <v>74</v>
      </c>
      <c r="H17" s="1">
        <v>11</v>
      </c>
      <c r="I17" s="1">
        <v>62035</v>
      </c>
      <c r="J17" s="1" t="s">
        <v>75</v>
      </c>
      <c r="K17" s="1" t="s">
        <v>76</v>
      </c>
    </row>
    <row r="18" spans="2:11" x14ac:dyDescent="0.35">
      <c r="B18" s="1" t="s">
        <v>382</v>
      </c>
      <c r="C18" s="1"/>
      <c r="D18" s="1"/>
      <c r="E18" s="1" t="s">
        <v>77</v>
      </c>
      <c r="F18" s="1" t="s">
        <v>78</v>
      </c>
      <c r="G18" s="1" t="s">
        <v>79</v>
      </c>
      <c r="H18" s="1">
        <v>10</v>
      </c>
      <c r="I18" s="1">
        <v>175000</v>
      </c>
      <c r="J18" s="1" t="s">
        <v>80</v>
      </c>
      <c r="K18" s="1" t="s">
        <v>61</v>
      </c>
    </row>
    <row r="19" spans="2:11" x14ac:dyDescent="0.35">
      <c r="B19" s="1" t="s">
        <v>383</v>
      </c>
      <c r="C19" s="1"/>
      <c r="D19" s="1"/>
      <c r="E19" s="1" t="s">
        <v>384</v>
      </c>
      <c r="F19" s="1" t="s">
        <v>81</v>
      </c>
      <c r="G19" s="1" t="s">
        <v>32</v>
      </c>
      <c r="H19" s="1">
        <v>4</v>
      </c>
      <c r="I19" s="1">
        <v>150000</v>
      </c>
      <c r="J19" s="1" t="s">
        <v>82</v>
      </c>
      <c r="K19" s="1" t="s">
        <v>83</v>
      </c>
    </row>
    <row r="20" spans="2:11" x14ac:dyDescent="0.35">
      <c r="B20" s="1" t="s">
        <v>385</v>
      </c>
      <c r="C20" s="1"/>
      <c r="D20" s="1"/>
      <c r="E20" s="1" t="s">
        <v>47</v>
      </c>
      <c r="F20" s="1" t="s">
        <v>84</v>
      </c>
      <c r="G20" s="1" t="s">
        <v>85</v>
      </c>
      <c r="H20" s="1">
        <v>3</v>
      </c>
      <c r="I20" s="1">
        <v>175000</v>
      </c>
      <c r="J20" s="1" t="s">
        <v>86</v>
      </c>
      <c r="K20" s="1" t="s">
        <v>87</v>
      </c>
    </row>
    <row r="21" spans="2:11" x14ac:dyDescent="0.35">
      <c r="B21" s="1" t="s">
        <v>386</v>
      </c>
      <c r="C21" s="1"/>
      <c r="D21" s="1"/>
      <c r="E21" s="1" t="s">
        <v>387</v>
      </c>
      <c r="F21" s="1" t="s">
        <v>88</v>
      </c>
      <c r="G21" s="1" t="s">
        <v>85</v>
      </c>
      <c r="H21" s="1">
        <v>5</v>
      </c>
      <c r="I21" s="1">
        <v>175000</v>
      </c>
      <c r="J21" s="1" t="s">
        <v>89</v>
      </c>
      <c r="K21" s="1" t="s">
        <v>87</v>
      </c>
    </row>
    <row r="22" spans="2:11" x14ac:dyDescent="0.35">
      <c r="B22" s="1" t="s">
        <v>388</v>
      </c>
      <c r="C22" s="1"/>
      <c r="D22" s="1"/>
      <c r="E22" s="1" t="s">
        <v>389</v>
      </c>
      <c r="F22" s="1" t="s">
        <v>90</v>
      </c>
      <c r="G22" s="1" t="s">
        <v>91</v>
      </c>
      <c r="H22" s="1">
        <v>20</v>
      </c>
      <c r="I22" s="1">
        <v>250000</v>
      </c>
      <c r="J22" s="1" t="s">
        <v>92</v>
      </c>
      <c r="K22" s="1" t="s">
        <v>34</v>
      </c>
    </row>
    <row r="23" spans="2:11" x14ac:dyDescent="0.35">
      <c r="B23" s="1" t="s">
        <v>390</v>
      </c>
      <c r="C23" s="1"/>
      <c r="D23" s="1"/>
      <c r="E23" s="1" t="s">
        <v>77</v>
      </c>
      <c r="F23" s="1" t="s">
        <v>93</v>
      </c>
      <c r="G23" s="1" t="s">
        <v>94</v>
      </c>
      <c r="H23" s="1">
        <v>2</v>
      </c>
      <c r="I23" s="1">
        <v>175000</v>
      </c>
      <c r="J23" s="1" t="s">
        <v>95</v>
      </c>
      <c r="K23" s="1" t="s">
        <v>96</v>
      </c>
    </row>
    <row r="24" spans="2:11" x14ac:dyDescent="0.35">
      <c r="B24" s="1" t="s">
        <v>391</v>
      </c>
      <c r="C24" s="1"/>
      <c r="D24" s="1"/>
      <c r="E24" s="1" t="s">
        <v>97</v>
      </c>
      <c r="F24" s="1" t="s">
        <v>98</v>
      </c>
      <c r="G24" s="1" t="s">
        <v>99</v>
      </c>
      <c r="H24" s="1">
        <v>20</v>
      </c>
      <c r="I24" s="1">
        <v>150000</v>
      </c>
      <c r="J24" s="1" t="s">
        <v>80</v>
      </c>
      <c r="K24" s="1" t="s">
        <v>100</v>
      </c>
    </row>
    <row r="25" spans="2:11" x14ac:dyDescent="0.35">
      <c r="B25" s="1" t="s">
        <v>392</v>
      </c>
      <c r="C25" s="1"/>
      <c r="D25" s="1"/>
      <c r="E25" s="1" t="s">
        <v>101</v>
      </c>
      <c r="F25" s="1" t="s">
        <v>102</v>
      </c>
      <c r="G25" s="1" t="s">
        <v>103</v>
      </c>
      <c r="H25" s="1">
        <v>8</v>
      </c>
      <c r="I25" s="1">
        <v>150000</v>
      </c>
      <c r="J25" s="1" t="s">
        <v>104</v>
      </c>
      <c r="K25" s="1" t="s">
        <v>105</v>
      </c>
    </row>
    <row r="26" spans="2:11" x14ac:dyDescent="0.35">
      <c r="B26" s="1" t="s">
        <v>393</v>
      </c>
      <c r="C26" s="1"/>
      <c r="D26" s="1"/>
      <c r="E26" s="1" t="s">
        <v>394</v>
      </c>
      <c r="F26" s="1" t="s">
        <v>106</v>
      </c>
      <c r="G26" s="1" t="s">
        <v>107</v>
      </c>
      <c r="H26" s="1">
        <v>19</v>
      </c>
      <c r="I26" s="1">
        <v>250000</v>
      </c>
      <c r="J26" s="1" t="s">
        <v>108</v>
      </c>
      <c r="K26" s="1" t="s">
        <v>109</v>
      </c>
    </row>
    <row r="27" spans="2:11" x14ac:dyDescent="0.35">
      <c r="B27" s="1" t="s">
        <v>395</v>
      </c>
      <c r="C27" s="1"/>
      <c r="D27" s="1"/>
      <c r="E27" s="1" t="s">
        <v>396</v>
      </c>
      <c r="F27" s="1" t="s">
        <v>110</v>
      </c>
      <c r="G27" s="1" t="s">
        <v>111</v>
      </c>
      <c r="H27" s="1">
        <v>12</v>
      </c>
      <c r="I27" s="1">
        <v>175000</v>
      </c>
      <c r="J27" s="1" t="s">
        <v>112</v>
      </c>
      <c r="K27" s="1" t="s">
        <v>61</v>
      </c>
    </row>
    <row r="28" spans="2:11" x14ac:dyDescent="0.35">
      <c r="B28" s="1" t="s">
        <v>397</v>
      </c>
      <c r="C28" s="1"/>
      <c r="D28" s="1"/>
      <c r="E28" s="1" t="s">
        <v>113</v>
      </c>
      <c r="F28" s="1" t="s">
        <v>114</v>
      </c>
      <c r="G28" s="1" t="s">
        <v>115</v>
      </c>
      <c r="H28" s="1">
        <v>11</v>
      </c>
      <c r="I28" s="1">
        <v>85000</v>
      </c>
      <c r="J28" s="1" t="s">
        <v>116</v>
      </c>
      <c r="K28" s="1" t="s">
        <v>117</v>
      </c>
    </row>
    <row r="29" spans="2:11" x14ac:dyDescent="0.35">
      <c r="B29" s="1" t="s">
        <v>398</v>
      </c>
      <c r="C29" s="1"/>
      <c r="D29" s="1"/>
      <c r="E29" s="1" t="s">
        <v>101</v>
      </c>
      <c r="F29" s="1" t="s">
        <v>118</v>
      </c>
      <c r="G29" s="1" t="s">
        <v>119</v>
      </c>
      <c r="H29" s="1">
        <v>17</v>
      </c>
      <c r="I29" s="1">
        <v>65000</v>
      </c>
      <c r="J29" s="1" t="s">
        <v>89</v>
      </c>
      <c r="K29" s="1" t="s">
        <v>120</v>
      </c>
    </row>
    <row r="30" spans="2:11" x14ac:dyDescent="0.35">
      <c r="B30" s="1" t="s">
        <v>399</v>
      </c>
      <c r="C30" s="1"/>
      <c r="D30" s="1"/>
      <c r="E30" s="1" t="s">
        <v>400</v>
      </c>
      <c r="F30" s="1" t="s">
        <v>121</v>
      </c>
      <c r="G30" s="1" t="s">
        <v>122</v>
      </c>
      <c r="H30" s="1">
        <v>15</v>
      </c>
      <c r="I30" s="1">
        <v>350000</v>
      </c>
      <c r="J30" s="1" t="s">
        <v>336</v>
      </c>
      <c r="K30" s="1" t="s">
        <v>123</v>
      </c>
    </row>
    <row r="31" spans="2:11" x14ac:dyDescent="0.35">
      <c r="B31" s="1" t="s">
        <v>401</v>
      </c>
      <c r="C31" s="1"/>
      <c r="D31" s="1"/>
      <c r="E31" s="1" t="s">
        <v>369</v>
      </c>
      <c r="F31" s="1" t="s">
        <v>13</v>
      </c>
      <c r="G31" s="1" t="s">
        <v>124</v>
      </c>
      <c r="H31" s="1">
        <v>8</v>
      </c>
      <c r="I31" s="1">
        <v>350000</v>
      </c>
      <c r="J31" s="1" t="s">
        <v>125</v>
      </c>
      <c r="K31" s="1" t="s">
        <v>126</v>
      </c>
    </row>
    <row r="32" spans="2:11" x14ac:dyDescent="0.35">
      <c r="B32" s="1" t="s">
        <v>402</v>
      </c>
      <c r="C32" s="1"/>
      <c r="D32" s="1"/>
      <c r="E32" s="1" t="s">
        <v>127</v>
      </c>
      <c r="F32" s="1" t="s">
        <v>13</v>
      </c>
      <c r="G32" s="1" t="s">
        <v>128</v>
      </c>
      <c r="H32" s="1">
        <v>14</v>
      </c>
      <c r="I32" s="1">
        <v>350000</v>
      </c>
      <c r="J32" s="1" t="s">
        <v>67</v>
      </c>
      <c r="K32" s="1" t="s">
        <v>129</v>
      </c>
    </row>
    <row r="33" spans="2:11" x14ac:dyDescent="0.35">
      <c r="B33" s="1" t="s">
        <v>403</v>
      </c>
      <c r="C33" s="1"/>
      <c r="D33" s="1"/>
      <c r="E33" s="1" t="s">
        <v>77</v>
      </c>
      <c r="F33" s="1" t="s">
        <v>130</v>
      </c>
      <c r="G33" s="1" t="s">
        <v>131</v>
      </c>
      <c r="H33" s="1">
        <v>12</v>
      </c>
      <c r="I33" s="1">
        <v>150000</v>
      </c>
      <c r="J33" s="1" t="s">
        <v>20</v>
      </c>
      <c r="K33" s="1" t="s">
        <v>132</v>
      </c>
    </row>
    <row r="34" spans="2:11" x14ac:dyDescent="0.35">
      <c r="B34" s="1" t="s">
        <v>404</v>
      </c>
      <c r="C34" s="1"/>
      <c r="D34" s="1"/>
      <c r="E34" s="1" t="s">
        <v>405</v>
      </c>
      <c r="F34" s="1" t="s">
        <v>88</v>
      </c>
      <c r="G34" s="1" t="s">
        <v>133</v>
      </c>
      <c r="H34" s="1">
        <v>8</v>
      </c>
      <c r="I34" s="1">
        <v>175000</v>
      </c>
      <c r="J34" s="1" t="s">
        <v>134</v>
      </c>
      <c r="K34" s="1" t="s">
        <v>135</v>
      </c>
    </row>
    <row r="35" spans="2:11" x14ac:dyDescent="0.35">
      <c r="B35" s="1" t="s">
        <v>406</v>
      </c>
      <c r="C35" s="1"/>
      <c r="D35" s="1"/>
      <c r="E35" s="1" t="s">
        <v>8</v>
      </c>
      <c r="F35" s="1" t="s">
        <v>98</v>
      </c>
      <c r="G35" s="1" t="s">
        <v>136</v>
      </c>
      <c r="H35" s="1">
        <v>6</v>
      </c>
      <c r="I35" s="1">
        <v>150000</v>
      </c>
      <c r="J35" s="1" t="s">
        <v>137</v>
      </c>
      <c r="K35" s="1" t="s">
        <v>138</v>
      </c>
    </row>
    <row r="36" spans="2:11" x14ac:dyDescent="0.35">
      <c r="B36" s="1" t="s">
        <v>407</v>
      </c>
      <c r="C36" s="1"/>
      <c r="D36" s="1"/>
      <c r="E36" s="1" t="s">
        <v>47</v>
      </c>
      <c r="F36" s="1" t="s">
        <v>139</v>
      </c>
      <c r="G36" s="1" t="s">
        <v>91</v>
      </c>
      <c r="H36" s="1">
        <v>20</v>
      </c>
      <c r="I36" s="1">
        <v>2500000</v>
      </c>
      <c r="J36" s="1" t="s">
        <v>140</v>
      </c>
      <c r="K36" s="1" t="s">
        <v>141</v>
      </c>
    </row>
    <row r="37" spans="2:11" x14ac:dyDescent="0.35">
      <c r="B37" s="1" t="s">
        <v>408</v>
      </c>
      <c r="C37" s="1"/>
      <c r="D37" s="1"/>
      <c r="E37" s="1" t="s">
        <v>363</v>
      </c>
      <c r="F37" s="1" t="s">
        <v>142</v>
      </c>
      <c r="G37" s="1" t="s">
        <v>143</v>
      </c>
      <c r="H37" s="1">
        <v>12</v>
      </c>
      <c r="I37" s="1">
        <v>65000</v>
      </c>
      <c r="J37" s="1" t="s">
        <v>41</v>
      </c>
      <c r="K37" s="1" t="s">
        <v>144</v>
      </c>
    </row>
    <row r="38" spans="2:11" x14ac:dyDescent="0.35">
      <c r="B38" s="1" t="s">
        <v>409</v>
      </c>
      <c r="C38" s="1"/>
      <c r="D38" s="1"/>
      <c r="E38" s="1" t="s">
        <v>400</v>
      </c>
      <c r="F38" s="1" t="s">
        <v>145</v>
      </c>
      <c r="G38" s="1" t="s">
        <v>146</v>
      </c>
      <c r="H38" s="1">
        <v>4</v>
      </c>
      <c r="I38" s="1">
        <v>73740</v>
      </c>
      <c r="J38" s="1" t="s">
        <v>147</v>
      </c>
      <c r="K38" s="1" t="s">
        <v>148</v>
      </c>
    </row>
    <row r="39" spans="2:11" x14ac:dyDescent="0.35">
      <c r="B39" s="1" t="s">
        <v>410</v>
      </c>
      <c r="C39" s="1"/>
      <c r="D39" s="1"/>
      <c r="E39" s="1" t="s">
        <v>411</v>
      </c>
      <c r="F39" s="1" t="s">
        <v>149</v>
      </c>
      <c r="G39" s="1" t="s">
        <v>150</v>
      </c>
      <c r="H39" s="1">
        <v>18</v>
      </c>
      <c r="I39" s="1">
        <v>175000</v>
      </c>
      <c r="J39" s="1" t="s">
        <v>151</v>
      </c>
      <c r="K39" s="1" t="s">
        <v>72</v>
      </c>
    </row>
    <row r="40" spans="2:11" x14ac:dyDescent="0.35">
      <c r="B40" s="1" t="s">
        <v>412</v>
      </c>
      <c r="C40" s="1"/>
      <c r="D40" s="1"/>
      <c r="E40" s="1" t="s">
        <v>413</v>
      </c>
      <c r="F40" s="1" t="s">
        <v>152</v>
      </c>
      <c r="G40" s="1" t="s">
        <v>153</v>
      </c>
      <c r="H40" s="1">
        <v>10</v>
      </c>
      <c r="I40" s="1">
        <v>180000</v>
      </c>
      <c r="J40" s="1" t="s">
        <v>154</v>
      </c>
      <c r="K40" s="1" t="s">
        <v>155</v>
      </c>
    </row>
    <row r="41" spans="2:11" x14ac:dyDescent="0.35">
      <c r="B41" s="1" t="s">
        <v>414</v>
      </c>
      <c r="C41" s="1"/>
      <c r="D41" s="1"/>
      <c r="E41" s="1" t="s">
        <v>97</v>
      </c>
      <c r="F41" s="1" t="s">
        <v>156</v>
      </c>
      <c r="G41" s="1" t="s">
        <v>119</v>
      </c>
      <c r="H41" s="1">
        <v>10</v>
      </c>
      <c r="I41" s="1">
        <v>65000</v>
      </c>
      <c r="J41" s="1" t="s">
        <v>335</v>
      </c>
      <c r="K41" s="1" t="s">
        <v>157</v>
      </c>
    </row>
    <row r="42" spans="2:11" x14ac:dyDescent="0.35">
      <c r="B42" s="1" t="s">
        <v>374</v>
      </c>
      <c r="C42" s="1"/>
      <c r="D42" s="1"/>
      <c r="E42" s="1" t="s">
        <v>415</v>
      </c>
      <c r="F42" s="1" t="s">
        <v>130</v>
      </c>
      <c r="G42" s="1" t="s">
        <v>19</v>
      </c>
      <c r="H42" s="1">
        <v>3</v>
      </c>
      <c r="I42" s="1">
        <v>150000</v>
      </c>
      <c r="J42" s="1" t="s">
        <v>158</v>
      </c>
      <c r="K42" s="1" t="s">
        <v>159</v>
      </c>
    </row>
    <row r="43" spans="2:11" x14ac:dyDescent="0.35">
      <c r="B43" s="1" t="s">
        <v>416</v>
      </c>
      <c r="C43" s="1"/>
      <c r="D43" s="1"/>
      <c r="E43" s="1" t="s">
        <v>160</v>
      </c>
      <c r="F43" s="1" t="s">
        <v>161</v>
      </c>
      <c r="G43" s="1" t="s">
        <v>19</v>
      </c>
      <c r="H43" s="1">
        <v>8</v>
      </c>
      <c r="I43" s="1">
        <v>180000</v>
      </c>
      <c r="J43" s="1" t="s">
        <v>64</v>
      </c>
      <c r="K43" s="1" t="s">
        <v>61</v>
      </c>
    </row>
    <row r="44" spans="2:11" x14ac:dyDescent="0.35">
      <c r="B44" s="1" t="s">
        <v>417</v>
      </c>
      <c r="C44" s="1"/>
      <c r="D44" s="1"/>
      <c r="E44" s="1" t="s">
        <v>418</v>
      </c>
      <c r="F44" s="1" t="s">
        <v>162</v>
      </c>
      <c r="G44" s="1" t="s">
        <v>107</v>
      </c>
      <c r="H44" s="1">
        <v>3</v>
      </c>
      <c r="I44" s="1">
        <v>250000</v>
      </c>
      <c r="J44" s="1" t="s">
        <v>163</v>
      </c>
      <c r="K44" s="1" t="s">
        <v>164</v>
      </c>
    </row>
    <row r="45" spans="2:11" x14ac:dyDescent="0.35">
      <c r="B45" s="1" t="s">
        <v>419</v>
      </c>
      <c r="C45" s="1"/>
      <c r="D45" s="1"/>
      <c r="E45" s="1" t="s">
        <v>420</v>
      </c>
      <c r="F45" s="1" t="s">
        <v>165</v>
      </c>
      <c r="G45" s="1" t="s">
        <v>166</v>
      </c>
      <c r="H45" s="1">
        <v>18</v>
      </c>
      <c r="I45" s="1">
        <v>85000</v>
      </c>
      <c r="J45" s="1" t="s">
        <v>167</v>
      </c>
      <c r="K45" s="1" t="s">
        <v>135</v>
      </c>
    </row>
    <row r="46" spans="2:11" x14ac:dyDescent="0.35">
      <c r="B46" s="1" t="s">
        <v>421</v>
      </c>
      <c r="C46" s="1"/>
      <c r="D46" s="1"/>
      <c r="E46" s="1" t="s">
        <v>168</v>
      </c>
      <c r="F46" s="1" t="s">
        <v>48</v>
      </c>
      <c r="G46" s="1" t="s">
        <v>32</v>
      </c>
      <c r="H46" s="1">
        <v>9</v>
      </c>
      <c r="I46" s="1">
        <v>150000</v>
      </c>
      <c r="J46" s="1" t="s">
        <v>169</v>
      </c>
      <c r="K46" s="1" t="s">
        <v>170</v>
      </c>
    </row>
    <row r="47" spans="2:11" x14ac:dyDescent="0.35">
      <c r="B47" s="1" t="s">
        <v>422</v>
      </c>
      <c r="C47" s="1"/>
      <c r="D47" s="1"/>
      <c r="E47" s="1" t="s">
        <v>423</v>
      </c>
      <c r="F47" s="1" t="s">
        <v>171</v>
      </c>
      <c r="G47" s="1" t="s">
        <v>172</v>
      </c>
      <c r="H47" s="1">
        <v>18</v>
      </c>
      <c r="I47" s="1">
        <v>150000</v>
      </c>
      <c r="J47" s="1" t="s">
        <v>173</v>
      </c>
      <c r="K47" s="1" t="s">
        <v>174</v>
      </c>
    </row>
    <row r="48" spans="2:11" x14ac:dyDescent="0.35">
      <c r="B48" s="1" t="s">
        <v>424</v>
      </c>
      <c r="C48" s="1"/>
      <c r="D48" s="1"/>
      <c r="E48" s="1" t="s">
        <v>425</v>
      </c>
      <c r="F48" s="1" t="s">
        <v>98</v>
      </c>
      <c r="G48" s="1" t="s">
        <v>54</v>
      </c>
      <c r="H48" s="1">
        <v>11</v>
      </c>
      <c r="I48" s="1">
        <v>150000</v>
      </c>
      <c r="J48" s="1" t="s">
        <v>175</v>
      </c>
      <c r="K48" s="1" t="s">
        <v>176</v>
      </c>
    </row>
    <row r="49" spans="2:11" x14ac:dyDescent="0.35">
      <c r="B49" s="1" t="s">
        <v>426</v>
      </c>
      <c r="C49" s="1"/>
      <c r="D49" s="1"/>
      <c r="E49" s="1" t="s">
        <v>427</v>
      </c>
      <c r="F49" s="1" t="s">
        <v>177</v>
      </c>
      <c r="G49" s="1" t="s">
        <v>124</v>
      </c>
      <c r="H49" s="1">
        <v>4</v>
      </c>
      <c r="I49" s="1">
        <v>350000</v>
      </c>
      <c r="J49" s="1" t="s">
        <v>178</v>
      </c>
      <c r="K49" s="1" t="s">
        <v>179</v>
      </c>
    </row>
    <row r="50" spans="2:11" x14ac:dyDescent="0.35">
      <c r="B50" s="1" t="s">
        <v>428</v>
      </c>
      <c r="C50" s="1"/>
      <c r="D50" s="1"/>
      <c r="E50" s="1" t="s">
        <v>379</v>
      </c>
      <c r="F50" s="1" t="s">
        <v>81</v>
      </c>
      <c r="G50" s="1" t="s">
        <v>180</v>
      </c>
      <c r="H50" s="1">
        <v>19</v>
      </c>
      <c r="I50" s="1">
        <v>150000</v>
      </c>
      <c r="J50" s="1" t="s">
        <v>334</v>
      </c>
      <c r="K50" s="1" t="s">
        <v>181</v>
      </c>
    </row>
    <row r="51" spans="2:11" x14ac:dyDescent="0.35">
      <c r="B51" s="1" t="s">
        <v>429</v>
      </c>
      <c r="C51" s="1"/>
      <c r="D51" s="1"/>
      <c r="E51" s="1" t="s">
        <v>371</v>
      </c>
      <c r="F51" s="1" t="s">
        <v>182</v>
      </c>
      <c r="G51" s="1" t="s">
        <v>183</v>
      </c>
      <c r="H51" s="1">
        <v>7</v>
      </c>
      <c r="I51" s="1">
        <v>85000</v>
      </c>
      <c r="J51" s="1" t="s">
        <v>184</v>
      </c>
      <c r="K51" s="1" t="s">
        <v>185</v>
      </c>
    </row>
    <row r="52" spans="2:11" x14ac:dyDescent="0.35">
      <c r="B52" s="1" t="s">
        <v>430</v>
      </c>
      <c r="C52" s="1"/>
      <c r="D52" s="1"/>
      <c r="E52" s="1" t="s">
        <v>431</v>
      </c>
      <c r="F52" s="1" t="s">
        <v>186</v>
      </c>
      <c r="G52" s="1" t="s">
        <v>187</v>
      </c>
      <c r="H52" s="1">
        <v>13</v>
      </c>
      <c r="I52" s="1">
        <v>57912</v>
      </c>
      <c r="J52" s="1" t="s">
        <v>188</v>
      </c>
      <c r="K52" s="1" t="s">
        <v>189</v>
      </c>
    </row>
    <row r="53" spans="2:11" x14ac:dyDescent="0.35">
      <c r="B53" s="1" t="s">
        <v>432</v>
      </c>
      <c r="C53" s="1"/>
      <c r="D53" s="1"/>
      <c r="E53" s="1" t="s">
        <v>97</v>
      </c>
      <c r="F53" s="1" t="s">
        <v>118</v>
      </c>
      <c r="G53" s="1" t="s">
        <v>190</v>
      </c>
      <c r="H53" s="1">
        <v>18</v>
      </c>
      <c r="I53" s="1">
        <v>650000</v>
      </c>
      <c r="J53" s="1" t="s">
        <v>191</v>
      </c>
      <c r="K53" s="1" t="s">
        <v>192</v>
      </c>
    </row>
    <row r="54" spans="2:11" x14ac:dyDescent="0.35">
      <c r="B54" s="1" t="s">
        <v>433</v>
      </c>
      <c r="C54" s="1"/>
      <c r="D54" s="1"/>
      <c r="E54" s="1" t="s">
        <v>434</v>
      </c>
      <c r="F54" s="1" t="s">
        <v>73</v>
      </c>
      <c r="G54" s="1" t="s">
        <v>143</v>
      </c>
      <c r="H54" s="1">
        <v>5</v>
      </c>
      <c r="I54" s="1">
        <v>65000</v>
      </c>
      <c r="J54" s="1" t="s">
        <v>193</v>
      </c>
      <c r="K54" s="1" t="s">
        <v>194</v>
      </c>
    </row>
    <row r="55" spans="2:11" x14ac:dyDescent="0.35">
      <c r="B55" s="1" t="s">
        <v>435</v>
      </c>
      <c r="C55" s="1"/>
      <c r="D55" s="1"/>
      <c r="E55" s="1" t="s">
        <v>8</v>
      </c>
      <c r="F55" s="1" t="s">
        <v>177</v>
      </c>
      <c r="G55" s="1" t="s">
        <v>36</v>
      </c>
      <c r="H55" s="1">
        <v>13</v>
      </c>
      <c r="I55" s="1">
        <v>350000</v>
      </c>
      <c r="J55" s="1" t="s">
        <v>89</v>
      </c>
      <c r="K55" s="1" t="s">
        <v>195</v>
      </c>
    </row>
    <row r="56" spans="2:11" x14ac:dyDescent="0.35">
      <c r="B56" s="1" t="s">
        <v>436</v>
      </c>
      <c r="C56" s="1"/>
      <c r="D56" s="1"/>
      <c r="E56" s="1" t="s">
        <v>437</v>
      </c>
      <c r="F56" s="1" t="s">
        <v>196</v>
      </c>
      <c r="G56" s="1" t="s">
        <v>124</v>
      </c>
      <c r="H56" s="1">
        <v>19</v>
      </c>
      <c r="I56" s="1">
        <v>350000</v>
      </c>
      <c r="J56" s="1" t="s">
        <v>197</v>
      </c>
      <c r="K56" s="1" t="s">
        <v>198</v>
      </c>
    </row>
    <row r="57" spans="2:11" x14ac:dyDescent="0.35">
      <c r="B57" s="1" t="s">
        <v>438</v>
      </c>
      <c r="C57" s="1"/>
      <c r="D57" s="1"/>
      <c r="E57" s="1" t="s">
        <v>439</v>
      </c>
      <c r="F57" s="1" t="s">
        <v>199</v>
      </c>
      <c r="G57" s="1" t="s">
        <v>28</v>
      </c>
      <c r="H57" s="1">
        <v>9</v>
      </c>
      <c r="I57" s="1">
        <v>180000</v>
      </c>
      <c r="J57" s="1" t="s">
        <v>200</v>
      </c>
      <c r="K57" s="1" t="s">
        <v>201</v>
      </c>
    </row>
    <row r="58" spans="2:11" x14ac:dyDescent="0.35">
      <c r="B58" s="1" t="s">
        <v>440</v>
      </c>
      <c r="C58" s="1"/>
      <c r="D58" s="1"/>
      <c r="E58" s="1" t="s">
        <v>381</v>
      </c>
      <c r="F58" s="1" t="s">
        <v>202</v>
      </c>
      <c r="G58" s="1" t="s">
        <v>203</v>
      </c>
      <c r="H58" s="1">
        <v>10</v>
      </c>
      <c r="I58" s="1">
        <v>150000</v>
      </c>
      <c r="J58" s="1" t="s">
        <v>204</v>
      </c>
      <c r="K58" s="1" t="s">
        <v>205</v>
      </c>
    </row>
    <row r="59" spans="2:11" x14ac:dyDescent="0.35">
      <c r="B59" s="1" t="s">
        <v>441</v>
      </c>
      <c r="C59" s="1"/>
      <c r="D59" s="1"/>
      <c r="E59" s="1" t="s">
        <v>442</v>
      </c>
      <c r="F59" s="1" t="s">
        <v>182</v>
      </c>
      <c r="G59" s="1" t="s">
        <v>206</v>
      </c>
      <c r="H59" s="1">
        <v>10</v>
      </c>
      <c r="I59" s="1">
        <v>85000</v>
      </c>
      <c r="J59" s="1" t="s">
        <v>200</v>
      </c>
      <c r="K59" s="1" t="s">
        <v>207</v>
      </c>
    </row>
    <row r="60" spans="2:11" x14ac:dyDescent="0.35">
      <c r="B60" s="1" t="s">
        <v>443</v>
      </c>
      <c r="C60" s="1"/>
      <c r="D60" s="1"/>
      <c r="E60" s="1" t="s">
        <v>208</v>
      </c>
      <c r="F60" s="1" t="s">
        <v>209</v>
      </c>
      <c r="G60" s="1" t="s">
        <v>210</v>
      </c>
      <c r="H60" s="1">
        <v>5</v>
      </c>
      <c r="I60" s="1">
        <v>25000</v>
      </c>
      <c r="J60" s="1" t="s">
        <v>211</v>
      </c>
      <c r="K60" s="1" t="s">
        <v>212</v>
      </c>
    </row>
    <row r="61" spans="2:11" x14ac:dyDescent="0.35">
      <c r="B61" s="1" t="s">
        <v>385</v>
      </c>
      <c r="C61" s="1"/>
      <c r="D61" s="1"/>
      <c r="E61" s="1" t="s">
        <v>213</v>
      </c>
      <c r="F61" s="1" t="s">
        <v>130</v>
      </c>
      <c r="G61" s="1" t="s">
        <v>203</v>
      </c>
      <c r="H61" s="1">
        <v>1</v>
      </c>
      <c r="I61" s="1">
        <v>150000</v>
      </c>
      <c r="J61" s="1" t="s">
        <v>92</v>
      </c>
      <c r="K61" s="1" t="s">
        <v>16</v>
      </c>
    </row>
    <row r="62" spans="2:11" x14ac:dyDescent="0.35">
      <c r="B62" s="1" t="s">
        <v>444</v>
      </c>
      <c r="C62" s="1"/>
      <c r="D62" s="1"/>
      <c r="E62" s="1" t="s">
        <v>445</v>
      </c>
      <c r="F62" s="1" t="s">
        <v>214</v>
      </c>
      <c r="G62" s="1" t="s">
        <v>215</v>
      </c>
      <c r="H62" s="1">
        <v>20</v>
      </c>
      <c r="I62" s="1">
        <v>150000</v>
      </c>
      <c r="J62" s="1" t="s">
        <v>216</v>
      </c>
      <c r="K62" s="1" t="s">
        <v>217</v>
      </c>
    </row>
    <row r="63" spans="2:11" x14ac:dyDescent="0.35">
      <c r="B63" s="1" t="s">
        <v>407</v>
      </c>
      <c r="C63" s="1"/>
      <c r="D63" s="1"/>
      <c r="E63" s="1" t="s">
        <v>446</v>
      </c>
      <c r="F63" s="1" t="s">
        <v>218</v>
      </c>
      <c r="G63" s="1" t="s">
        <v>219</v>
      </c>
      <c r="H63" s="1">
        <v>11</v>
      </c>
      <c r="I63" s="1">
        <v>350000</v>
      </c>
      <c r="J63" s="1" t="s">
        <v>220</v>
      </c>
      <c r="K63" s="1" t="s">
        <v>221</v>
      </c>
    </row>
    <row r="64" spans="2:11" x14ac:dyDescent="0.35">
      <c r="B64" s="1" t="s">
        <v>447</v>
      </c>
      <c r="C64" s="1"/>
      <c r="D64" s="1"/>
      <c r="E64" s="1" t="s">
        <v>448</v>
      </c>
      <c r="F64" s="1" t="s">
        <v>222</v>
      </c>
      <c r="G64" s="1" t="s">
        <v>223</v>
      </c>
      <c r="H64" s="1">
        <v>14</v>
      </c>
      <c r="I64" s="1">
        <v>250000</v>
      </c>
      <c r="J64" s="1" t="s">
        <v>224</v>
      </c>
      <c r="K64" s="1" t="s">
        <v>225</v>
      </c>
    </row>
    <row r="65" spans="2:11" x14ac:dyDescent="0.35">
      <c r="B65" s="1" t="s">
        <v>449</v>
      </c>
      <c r="C65" s="1"/>
      <c r="D65" s="1"/>
      <c r="E65" s="1" t="s">
        <v>226</v>
      </c>
      <c r="F65" s="1" t="s">
        <v>81</v>
      </c>
      <c r="G65" s="1" t="s">
        <v>19</v>
      </c>
      <c r="H65" s="1">
        <v>3</v>
      </c>
      <c r="I65" s="1">
        <v>150000</v>
      </c>
      <c r="J65" s="1" t="s">
        <v>227</v>
      </c>
      <c r="K65" s="1" t="s">
        <v>12</v>
      </c>
    </row>
    <row r="66" spans="2:11" x14ac:dyDescent="0.35">
      <c r="B66" s="1" t="s">
        <v>450</v>
      </c>
      <c r="C66" s="1"/>
      <c r="D66" s="1"/>
      <c r="E66" s="1" t="s">
        <v>213</v>
      </c>
      <c r="F66" s="1" t="s">
        <v>228</v>
      </c>
      <c r="G66" s="1" t="s">
        <v>166</v>
      </c>
      <c r="H66" s="1">
        <v>6</v>
      </c>
      <c r="I66" s="1">
        <v>85000</v>
      </c>
      <c r="J66" s="1" t="s">
        <v>229</v>
      </c>
      <c r="K66" s="1" t="s">
        <v>230</v>
      </c>
    </row>
    <row r="67" spans="2:11" x14ac:dyDescent="0.35">
      <c r="B67" s="1" t="s">
        <v>451</v>
      </c>
      <c r="C67" s="1"/>
      <c r="D67" s="1"/>
      <c r="E67" s="1" t="s">
        <v>231</v>
      </c>
      <c r="F67" s="1" t="s">
        <v>218</v>
      </c>
      <c r="G67" s="1" t="s">
        <v>14</v>
      </c>
      <c r="H67" s="1">
        <v>15</v>
      </c>
      <c r="I67" s="1">
        <v>350000</v>
      </c>
      <c r="J67" s="1" t="s">
        <v>232</v>
      </c>
      <c r="K67" s="1" t="s">
        <v>233</v>
      </c>
    </row>
    <row r="68" spans="2:11" x14ac:dyDescent="0.35">
      <c r="B68" s="1" t="s">
        <v>452</v>
      </c>
      <c r="C68" s="1"/>
      <c r="D68" s="1"/>
      <c r="E68" s="1" t="s">
        <v>387</v>
      </c>
      <c r="F68" s="1" t="s">
        <v>81</v>
      </c>
      <c r="G68" s="1" t="s">
        <v>234</v>
      </c>
      <c r="H68" s="1">
        <v>16</v>
      </c>
      <c r="I68" s="1">
        <v>150000</v>
      </c>
      <c r="J68" s="1" t="s">
        <v>235</v>
      </c>
      <c r="K68" s="1" t="s">
        <v>225</v>
      </c>
    </row>
    <row r="69" spans="2:11" x14ac:dyDescent="0.35">
      <c r="B69" s="1" t="s">
        <v>453</v>
      </c>
      <c r="C69" s="1"/>
      <c r="D69" s="1"/>
      <c r="E69" s="1" t="s">
        <v>411</v>
      </c>
      <c r="F69" s="1" t="s">
        <v>236</v>
      </c>
      <c r="G69" s="1" t="s">
        <v>237</v>
      </c>
      <c r="H69" s="1">
        <v>8</v>
      </c>
      <c r="I69" s="1">
        <v>175000</v>
      </c>
      <c r="J69" s="1" t="s">
        <v>238</v>
      </c>
      <c r="K69" s="1" t="s">
        <v>72</v>
      </c>
    </row>
    <row r="70" spans="2:11" x14ac:dyDescent="0.35">
      <c r="B70" s="1" t="s">
        <v>454</v>
      </c>
      <c r="C70" s="1"/>
      <c r="D70" s="1"/>
      <c r="E70" s="1" t="s">
        <v>427</v>
      </c>
      <c r="F70" s="1" t="s">
        <v>239</v>
      </c>
      <c r="G70" s="1" t="s">
        <v>240</v>
      </c>
      <c r="H70" s="1">
        <v>2</v>
      </c>
      <c r="I70" s="1">
        <v>85000</v>
      </c>
      <c r="J70" s="1" t="s">
        <v>241</v>
      </c>
      <c r="K70" s="1" t="s">
        <v>242</v>
      </c>
    </row>
    <row r="71" spans="2:11" x14ac:dyDescent="0.35">
      <c r="B71" s="1" t="s">
        <v>455</v>
      </c>
      <c r="C71" s="1"/>
      <c r="D71" s="1"/>
      <c r="E71" s="1" t="s">
        <v>101</v>
      </c>
      <c r="F71" s="1" t="s">
        <v>243</v>
      </c>
      <c r="G71" s="1" t="s">
        <v>244</v>
      </c>
      <c r="H71" s="1">
        <v>13</v>
      </c>
      <c r="I71" s="1">
        <v>250000</v>
      </c>
      <c r="J71" s="1" t="s">
        <v>245</v>
      </c>
      <c r="K71" s="1" t="s">
        <v>246</v>
      </c>
    </row>
    <row r="72" spans="2:11" x14ac:dyDescent="0.35">
      <c r="B72" s="1" t="s">
        <v>456</v>
      </c>
      <c r="C72" s="1"/>
      <c r="D72" s="1"/>
      <c r="E72" s="1" t="s">
        <v>127</v>
      </c>
      <c r="F72" s="1" t="s">
        <v>118</v>
      </c>
      <c r="G72" s="1" t="s">
        <v>40</v>
      </c>
      <c r="H72" s="1">
        <v>11</v>
      </c>
      <c r="I72" s="1">
        <v>65000</v>
      </c>
      <c r="J72" s="1" t="s">
        <v>247</v>
      </c>
      <c r="K72" s="1" t="s">
        <v>248</v>
      </c>
    </row>
    <row r="73" spans="2:11" x14ac:dyDescent="0.35">
      <c r="B73" s="1" t="s">
        <v>402</v>
      </c>
      <c r="C73" s="1"/>
      <c r="D73" s="1"/>
      <c r="E73" s="1" t="s">
        <v>457</v>
      </c>
      <c r="F73" s="1" t="s">
        <v>249</v>
      </c>
      <c r="G73" s="1" t="s">
        <v>250</v>
      </c>
      <c r="H73" s="1">
        <v>17</v>
      </c>
      <c r="I73" s="1">
        <v>3500</v>
      </c>
      <c r="J73" s="1" t="s">
        <v>251</v>
      </c>
      <c r="K73" s="1" t="s">
        <v>252</v>
      </c>
    </row>
    <row r="74" spans="2:11" x14ac:dyDescent="0.35">
      <c r="B74" s="1" t="s">
        <v>458</v>
      </c>
      <c r="C74" s="1"/>
      <c r="D74" s="1"/>
      <c r="E74" s="1" t="s">
        <v>47</v>
      </c>
      <c r="F74" s="1" t="s">
        <v>253</v>
      </c>
      <c r="G74" s="1" t="s">
        <v>254</v>
      </c>
      <c r="H74" s="1">
        <v>18</v>
      </c>
      <c r="I74" s="1">
        <v>65000</v>
      </c>
      <c r="J74" s="1" t="s">
        <v>89</v>
      </c>
      <c r="K74" s="1" t="s">
        <v>87</v>
      </c>
    </row>
    <row r="75" spans="2:11" x14ac:dyDescent="0.35">
      <c r="B75" s="1" t="s">
        <v>459</v>
      </c>
      <c r="C75" s="1"/>
      <c r="D75" s="1"/>
      <c r="E75" s="1" t="s">
        <v>371</v>
      </c>
      <c r="F75" s="1" t="s">
        <v>255</v>
      </c>
      <c r="G75" s="1" t="s">
        <v>203</v>
      </c>
      <c r="H75" s="1">
        <v>13</v>
      </c>
      <c r="I75" s="1">
        <v>180000</v>
      </c>
      <c r="J75" s="1" t="s">
        <v>108</v>
      </c>
      <c r="K75" s="1" t="s">
        <v>256</v>
      </c>
    </row>
    <row r="76" spans="2:11" x14ac:dyDescent="0.35">
      <c r="B76" s="1" t="s">
        <v>460</v>
      </c>
      <c r="C76" s="1"/>
      <c r="D76" s="1"/>
      <c r="E76" s="1" t="s">
        <v>52</v>
      </c>
      <c r="F76" s="1" t="s">
        <v>257</v>
      </c>
      <c r="G76" s="1" t="s">
        <v>150</v>
      </c>
      <c r="H76" s="1">
        <v>10</v>
      </c>
      <c r="I76" s="1">
        <v>175000</v>
      </c>
      <c r="J76" s="1" t="s">
        <v>258</v>
      </c>
      <c r="K76" s="1" t="s">
        <v>259</v>
      </c>
    </row>
    <row r="77" spans="2:11" x14ac:dyDescent="0.35">
      <c r="B77" s="1" t="s">
        <v>461</v>
      </c>
      <c r="C77" s="1"/>
      <c r="D77" s="1"/>
      <c r="E77" s="1" t="s">
        <v>462</v>
      </c>
      <c r="F77" s="1" t="s">
        <v>165</v>
      </c>
      <c r="G77" s="1" t="s">
        <v>260</v>
      </c>
      <c r="H77" s="1">
        <v>5</v>
      </c>
      <c r="I77" s="1">
        <v>85000</v>
      </c>
      <c r="J77" s="1" t="s">
        <v>261</v>
      </c>
      <c r="K77" s="1" t="s">
        <v>262</v>
      </c>
    </row>
    <row r="78" spans="2:11" x14ac:dyDescent="0.35">
      <c r="B78" s="1" t="s">
        <v>463</v>
      </c>
      <c r="C78" s="1"/>
      <c r="D78" s="1"/>
      <c r="E78" s="1" t="s">
        <v>464</v>
      </c>
      <c r="F78" s="1" t="s">
        <v>263</v>
      </c>
      <c r="G78" s="1" t="s">
        <v>264</v>
      </c>
      <c r="H78" s="1">
        <v>17</v>
      </c>
      <c r="I78" s="1">
        <v>350000</v>
      </c>
      <c r="J78" s="1" t="s">
        <v>147</v>
      </c>
      <c r="K78" s="1" t="s">
        <v>265</v>
      </c>
    </row>
    <row r="79" spans="2:11" x14ac:dyDescent="0.35">
      <c r="B79" s="1" t="s">
        <v>465</v>
      </c>
      <c r="C79" s="1"/>
      <c r="D79" s="1"/>
      <c r="E79" s="1" t="s">
        <v>266</v>
      </c>
      <c r="F79" s="1" t="s">
        <v>267</v>
      </c>
      <c r="G79" s="1" t="s">
        <v>124</v>
      </c>
      <c r="H79" s="1">
        <v>13</v>
      </c>
      <c r="I79" s="1">
        <v>350000</v>
      </c>
      <c r="J79" s="1" t="s">
        <v>268</v>
      </c>
      <c r="K79" s="1" t="s">
        <v>269</v>
      </c>
    </row>
    <row r="80" spans="2:11" x14ac:dyDescent="0.35">
      <c r="B80" s="1" t="s">
        <v>466</v>
      </c>
      <c r="C80" s="1"/>
      <c r="D80" s="1"/>
      <c r="E80" s="1" t="s">
        <v>57</v>
      </c>
      <c r="F80" s="1" t="s">
        <v>270</v>
      </c>
      <c r="G80" s="1" t="s">
        <v>271</v>
      </c>
      <c r="H80" s="1">
        <v>8</v>
      </c>
      <c r="I80" s="1">
        <v>350000</v>
      </c>
      <c r="J80" s="1" t="s">
        <v>272</v>
      </c>
      <c r="K80" s="1" t="s">
        <v>100</v>
      </c>
    </row>
    <row r="81" spans="2:11" x14ac:dyDescent="0.35">
      <c r="B81" s="1" t="s">
        <v>467</v>
      </c>
      <c r="C81" s="1"/>
      <c r="D81" s="1"/>
      <c r="E81" s="1" t="s">
        <v>468</v>
      </c>
      <c r="F81" s="1" t="s">
        <v>273</v>
      </c>
      <c r="G81" s="1" t="s">
        <v>274</v>
      </c>
      <c r="H81" s="1">
        <v>13</v>
      </c>
      <c r="I81" s="1">
        <v>85000</v>
      </c>
      <c r="J81" s="1" t="s">
        <v>275</v>
      </c>
      <c r="K81" s="1" t="s">
        <v>100</v>
      </c>
    </row>
    <row r="82" spans="2:11" x14ac:dyDescent="0.35">
      <c r="B82" s="1" t="s">
        <v>469</v>
      </c>
      <c r="C82" s="1"/>
      <c r="D82" s="1"/>
      <c r="E82" s="1" t="s">
        <v>470</v>
      </c>
      <c r="F82" s="1" t="s">
        <v>276</v>
      </c>
      <c r="G82" s="1" t="s">
        <v>277</v>
      </c>
      <c r="H82" s="1">
        <v>17</v>
      </c>
      <c r="I82" s="1">
        <v>150000</v>
      </c>
      <c r="J82" s="1" t="s">
        <v>278</v>
      </c>
      <c r="K82" s="1" t="s">
        <v>279</v>
      </c>
    </row>
    <row r="83" spans="2:11" x14ac:dyDescent="0.35">
      <c r="B83" s="1" t="s">
        <v>471</v>
      </c>
      <c r="C83" s="1"/>
      <c r="D83" s="1"/>
      <c r="E83" s="1" t="s">
        <v>472</v>
      </c>
      <c r="F83" s="1" t="s">
        <v>280</v>
      </c>
      <c r="G83" s="1" t="s">
        <v>281</v>
      </c>
      <c r="H83" s="1">
        <v>19</v>
      </c>
      <c r="I83" s="1">
        <v>65000</v>
      </c>
      <c r="J83" s="1" t="s">
        <v>282</v>
      </c>
      <c r="K83" s="1" t="s">
        <v>283</v>
      </c>
    </row>
    <row r="84" spans="2:11" x14ac:dyDescent="0.35">
      <c r="B84" s="1" t="s">
        <v>473</v>
      </c>
      <c r="C84" s="1"/>
      <c r="D84" s="1"/>
      <c r="E84" s="1" t="s">
        <v>405</v>
      </c>
      <c r="F84" s="1" t="s">
        <v>48</v>
      </c>
      <c r="G84" s="1" t="s">
        <v>32</v>
      </c>
      <c r="H84" s="1">
        <v>1</v>
      </c>
      <c r="I84" s="1">
        <v>150000</v>
      </c>
      <c r="J84" s="1" t="s">
        <v>108</v>
      </c>
      <c r="K84" s="1" t="s">
        <v>284</v>
      </c>
    </row>
    <row r="85" spans="2:11" x14ac:dyDescent="0.35">
      <c r="B85" s="1" t="s">
        <v>474</v>
      </c>
      <c r="C85" s="1"/>
      <c r="D85" s="1"/>
      <c r="E85" s="1" t="s">
        <v>213</v>
      </c>
      <c r="F85" s="1" t="s">
        <v>209</v>
      </c>
      <c r="G85" s="1" t="s">
        <v>285</v>
      </c>
      <c r="H85" s="1">
        <v>13</v>
      </c>
      <c r="I85" s="1">
        <v>250000</v>
      </c>
      <c r="J85" s="1" t="s">
        <v>286</v>
      </c>
      <c r="K85" s="1" t="s">
        <v>205</v>
      </c>
    </row>
    <row r="86" spans="2:11" x14ac:dyDescent="0.35">
      <c r="B86" s="1" t="s">
        <v>475</v>
      </c>
      <c r="C86" s="1"/>
      <c r="D86" s="1"/>
      <c r="E86" s="1" t="s">
        <v>420</v>
      </c>
      <c r="F86" s="1" t="s">
        <v>287</v>
      </c>
      <c r="G86" s="1" t="s">
        <v>288</v>
      </c>
      <c r="H86" s="1">
        <v>18</v>
      </c>
      <c r="I86" s="1">
        <v>65000</v>
      </c>
      <c r="J86" s="1" t="s">
        <v>220</v>
      </c>
      <c r="K86" s="1" t="s">
        <v>159</v>
      </c>
    </row>
    <row r="87" spans="2:11" x14ac:dyDescent="0.35">
      <c r="B87" s="1" t="s">
        <v>476</v>
      </c>
      <c r="C87" s="1"/>
      <c r="D87" s="1"/>
      <c r="E87" s="1" t="s">
        <v>477</v>
      </c>
      <c r="F87" s="1" t="s">
        <v>289</v>
      </c>
      <c r="G87" s="1" t="s">
        <v>290</v>
      </c>
      <c r="H87" s="1">
        <v>20</v>
      </c>
      <c r="I87" s="1">
        <v>250000</v>
      </c>
      <c r="J87" s="1" t="s">
        <v>291</v>
      </c>
      <c r="K87" s="1" t="s">
        <v>292</v>
      </c>
    </row>
    <row r="88" spans="2:11" x14ac:dyDescent="0.35">
      <c r="B88" s="1" t="s">
        <v>478</v>
      </c>
      <c r="C88" s="1"/>
      <c r="D88" s="1"/>
      <c r="E88" s="1" t="s">
        <v>77</v>
      </c>
      <c r="F88" s="1" t="s">
        <v>199</v>
      </c>
      <c r="G88" s="1" t="s">
        <v>19</v>
      </c>
      <c r="H88" s="1">
        <v>4</v>
      </c>
      <c r="I88" s="1">
        <v>180000</v>
      </c>
      <c r="J88" s="1" t="s">
        <v>293</v>
      </c>
      <c r="K88" s="1" t="s">
        <v>34</v>
      </c>
    </row>
    <row r="89" spans="2:11" x14ac:dyDescent="0.35">
      <c r="B89" s="1" t="s">
        <v>479</v>
      </c>
      <c r="C89" s="1"/>
      <c r="D89" s="1"/>
      <c r="E89" s="1" t="s">
        <v>472</v>
      </c>
      <c r="F89" s="1" t="s">
        <v>48</v>
      </c>
      <c r="G89" s="1" t="s">
        <v>32</v>
      </c>
      <c r="H89" s="1">
        <v>5</v>
      </c>
      <c r="I89" s="1">
        <v>150000</v>
      </c>
      <c r="J89" s="1" t="s">
        <v>251</v>
      </c>
      <c r="K89" s="1" t="s">
        <v>294</v>
      </c>
    </row>
    <row r="90" spans="2:11" x14ac:dyDescent="0.35">
      <c r="B90" s="1" t="s">
        <v>480</v>
      </c>
      <c r="C90" s="1"/>
      <c r="D90" s="1"/>
      <c r="E90" s="1" t="s">
        <v>47</v>
      </c>
      <c r="F90" s="1" t="s">
        <v>295</v>
      </c>
      <c r="G90" s="1" t="s">
        <v>285</v>
      </c>
      <c r="H90" s="1">
        <v>11</v>
      </c>
      <c r="I90" s="1">
        <v>2500000</v>
      </c>
      <c r="J90" s="1" t="s">
        <v>20</v>
      </c>
      <c r="K90" s="1" t="s">
        <v>296</v>
      </c>
    </row>
    <row r="91" spans="2:11" x14ac:dyDescent="0.35">
      <c r="B91" s="1" t="s">
        <v>481</v>
      </c>
      <c r="C91" s="1"/>
      <c r="D91" s="1"/>
      <c r="E91" s="1" t="s">
        <v>77</v>
      </c>
      <c r="F91" s="1" t="s">
        <v>297</v>
      </c>
      <c r="G91" s="1" t="s">
        <v>298</v>
      </c>
      <c r="H91" s="1">
        <v>20</v>
      </c>
      <c r="I91" s="1">
        <v>250000</v>
      </c>
      <c r="J91" s="1" t="s">
        <v>299</v>
      </c>
      <c r="K91" s="1" t="s">
        <v>300</v>
      </c>
    </row>
    <row r="92" spans="2:11" x14ac:dyDescent="0.35">
      <c r="B92" s="1" t="s">
        <v>482</v>
      </c>
      <c r="C92" s="1"/>
      <c r="D92" s="1"/>
      <c r="E92" s="1" t="s">
        <v>483</v>
      </c>
      <c r="F92" s="1" t="s">
        <v>301</v>
      </c>
      <c r="G92" s="1" t="s">
        <v>302</v>
      </c>
      <c r="H92" s="1">
        <v>7</v>
      </c>
      <c r="I92" s="1">
        <v>89233</v>
      </c>
      <c r="J92" s="1" t="s">
        <v>303</v>
      </c>
      <c r="K92" s="1" t="s">
        <v>304</v>
      </c>
    </row>
    <row r="93" spans="2:11" x14ac:dyDescent="0.35">
      <c r="B93" s="1" t="s">
        <v>484</v>
      </c>
      <c r="C93" s="1"/>
      <c r="D93" s="1"/>
      <c r="E93" s="1" t="s">
        <v>305</v>
      </c>
      <c r="F93" s="1" t="s">
        <v>306</v>
      </c>
      <c r="G93" s="1" t="s">
        <v>307</v>
      </c>
      <c r="H93" s="1">
        <v>5</v>
      </c>
      <c r="I93" s="1">
        <v>250000</v>
      </c>
      <c r="J93" s="1" t="s">
        <v>308</v>
      </c>
      <c r="K93" s="1" t="s">
        <v>309</v>
      </c>
    </row>
    <row r="94" spans="2:11" x14ac:dyDescent="0.35">
      <c r="B94" s="1" t="s">
        <v>485</v>
      </c>
      <c r="C94" s="1"/>
      <c r="D94" s="1"/>
      <c r="E94" s="1" t="s">
        <v>357</v>
      </c>
      <c r="F94" s="1" t="s">
        <v>310</v>
      </c>
      <c r="G94" s="1" t="s">
        <v>150</v>
      </c>
      <c r="H94" s="1">
        <v>19</v>
      </c>
      <c r="I94" s="1">
        <v>175000</v>
      </c>
      <c r="J94" s="1" t="s">
        <v>311</v>
      </c>
      <c r="K94" s="1" t="s">
        <v>312</v>
      </c>
    </row>
    <row r="95" spans="2:11" x14ac:dyDescent="0.35">
      <c r="B95" s="1" t="s">
        <v>486</v>
      </c>
      <c r="C95" s="1"/>
      <c r="D95" s="1"/>
      <c r="E95" s="1" t="s">
        <v>213</v>
      </c>
      <c r="F95" s="1" t="s">
        <v>121</v>
      </c>
      <c r="G95" s="1" t="s">
        <v>124</v>
      </c>
      <c r="H95" s="1">
        <v>14</v>
      </c>
      <c r="I95" s="1">
        <v>350000</v>
      </c>
      <c r="J95" s="1" t="s">
        <v>313</v>
      </c>
      <c r="K95" s="1" t="s">
        <v>314</v>
      </c>
    </row>
    <row r="96" spans="2:11" x14ac:dyDescent="0.35">
      <c r="B96" s="1" t="s">
        <v>487</v>
      </c>
      <c r="C96" s="1"/>
      <c r="D96" s="1"/>
      <c r="E96" s="1" t="s">
        <v>213</v>
      </c>
      <c r="F96" s="1" t="s">
        <v>315</v>
      </c>
      <c r="G96" s="1" t="s">
        <v>316</v>
      </c>
      <c r="H96" s="1">
        <v>20</v>
      </c>
      <c r="I96" s="1">
        <v>175000</v>
      </c>
      <c r="J96" s="1" t="s">
        <v>317</v>
      </c>
      <c r="K96" s="1" t="s">
        <v>318</v>
      </c>
    </row>
    <row r="97" spans="2:11" x14ac:dyDescent="0.35">
      <c r="B97" s="1" t="s">
        <v>488</v>
      </c>
      <c r="C97" s="1"/>
      <c r="D97" s="1"/>
      <c r="E97" s="1" t="s">
        <v>489</v>
      </c>
      <c r="F97" s="1" t="s">
        <v>273</v>
      </c>
      <c r="G97" s="1" t="s">
        <v>319</v>
      </c>
      <c r="H97" s="1">
        <v>18</v>
      </c>
      <c r="I97" s="1">
        <v>85000</v>
      </c>
      <c r="J97" s="1" t="s">
        <v>320</v>
      </c>
      <c r="K97" s="1" t="s">
        <v>321</v>
      </c>
    </row>
    <row r="98" spans="2:11" x14ac:dyDescent="0.35">
      <c r="B98" s="1" t="s">
        <v>490</v>
      </c>
      <c r="C98" s="1"/>
      <c r="D98" s="1"/>
      <c r="E98" s="1" t="s">
        <v>322</v>
      </c>
      <c r="F98" s="1" t="s">
        <v>323</v>
      </c>
      <c r="G98" s="1" t="s">
        <v>324</v>
      </c>
      <c r="H98" s="1">
        <v>17</v>
      </c>
      <c r="I98" s="1">
        <v>175000</v>
      </c>
      <c r="J98" s="1" t="s">
        <v>325</v>
      </c>
      <c r="K98" s="1" t="s">
        <v>326</v>
      </c>
    </row>
    <row r="99" spans="2:11" x14ac:dyDescent="0.35">
      <c r="B99" s="1" t="s">
        <v>491</v>
      </c>
      <c r="C99" s="1"/>
      <c r="D99" s="1"/>
      <c r="E99" s="1" t="s">
        <v>8</v>
      </c>
      <c r="F99" s="1" t="s">
        <v>162</v>
      </c>
      <c r="G99" s="1" t="s">
        <v>285</v>
      </c>
      <c r="H99" s="1">
        <v>20</v>
      </c>
      <c r="I99" s="1">
        <v>250000</v>
      </c>
      <c r="J99" s="1" t="s">
        <v>229</v>
      </c>
      <c r="K99" s="1" t="s">
        <v>16</v>
      </c>
    </row>
    <row r="100" spans="2:11" x14ac:dyDescent="0.35">
      <c r="B100" s="1" t="s">
        <v>492</v>
      </c>
      <c r="C100" s="1"/>
      <c r="D100" s="1"/>
      <c r="E100" s="1" t="s">
        <v>160</v>
      </c>
      <c r="F100" s="1" t="s">
        <v>218</v>
      </c>
      <c r="G100" s="1" t="s">
        <v>124</v>
      </c>
      <c r="H100" s="1">
        <v>20</v>
      </c>
      <c r="I100" s="1">
        <v>350000</v>
      </c>
      <c r="J100" s="1" t="s">
        <v>327</v>
      </c>
      <c r="K100" s="1" t="s">
        <v>328</v>
      </c>
    </row>
    <row r="101" spans="2:11" x14ac:dyDescent="0.35">
      <c r="B101" s="1" t="s">
        <v>493</v>
      </c>
      <c r="C101" s="1"/>
      <c r="D101" s="1"/>
      <c r="E101" s="1" t="s">
        <v>494</v>
      </c>
      <c r="F101" s="1" t="s">
        <v>329</v>
      </c>
      <c r="G101" s="1" t="s">
        <v>330</v>
      </c>
      <c r="H101" s="1">
        <v>18</v>
      </c>
      <c r="I101" s="1">
        <v>150000</v>
      </c>
      <c r="J101" s="1" t="s">
        <v>331</v>
      </c>
      <c r="K101" s="1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zoomScale="51" workbookViewId="0">
      <pane ySplit="1" topLeftCell="A61" activePane="bottomLeft" state="frozen"/>
      <selection pane="bottomLeft" sqref="A1:I101"/>
    </sheetView>
  </sheetViews>
  <sheetFormatPr defaultRowHeight="14.5" x14ac:dyDescent="0.35"/>
  <cols>
    <col min="1" max="1" width="18.90625" customWidth="1"/>
    <col min="2" max="2" width="21.26953125" customWidth="1"/>
    <col min="3" max="5" width="18.90625" customWidth="1"/>
    <col min="6" max="7" width="18.90625" style="9" customWidth="1"/>
    <col min="8" max="10" width="18.90625" customWidth="1"/>
    <col min="11" max="11" width="13.7265625" bestFit="1" customWidth="1"/>
    <col min="12" max="12" width="13.81640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358</v>
      </c>
      <c r="H1" s="2" t="s">
        <v>6</v>
      </c>
      <c r="I1" s="2" t="s">
        <v>7</v>
      </c>
    </row>
    <row r="2" spans="1:12" x14ac:dyDescent="0.35">
      <c r="A2" s="3">
        <v>45661</v>
      </c>
      <c r="B2" s="1" t="s">
        <v>47</v>
      </c>
      <c r="C2" s="1" t="s">
        <v>352</v>
      </c>
      <c r="D2" s="1" t="s">
        <v>124</v>
      </c>
      <c r="E2" s="1">
        <v>19</v>
      </c>
      <c r="F2" s="8">
        <v>350000</v>
      </c>
      <c r="G2" s="10">
        <f t="shared" ref="G2:G33" si="0">PRODUCT(E2,F2)</f>
        <v>6650000</v>
      </c>
      <c r="H2" s="1" t="s">
        <v>341</v>
      </c>
      <c r="I2" s="1" t="s">
        <v>349</v>
      </c>
      <c r="K2" s="7" t="s">
        <v>359</v>
      </c>
      <c r="L2" s="11">
        <f>SUM(G2:G101)</f>
        <v>302680445</v>
      </c>
    </row>
    <row r="3" spans="1:12" x14ac:dyDescent="0.35">
      <c r="A3" s="3">
        <v>45663</v>
      </c>
      <c r="B3" s="1" t="s">
        <v>8</v>
      </c>
      <c r="C3" s="1" t="s">
        <v>81</v>
      </c>
      <c r="D3" s="1" t="s">
        <v>19</v>
      </c>
      <c r="E3" s="1">
        <v>20</v>
      </c>
      <c r="F3" s="8">
        <v>150000</v>
      </c>
      <c r="G3" s="10">
        <f t="shared" si="0"/>
        <v>3000000</v>
      </c>
      <c r="H3" s="1" t="s">
        <v>60</v>
      </c>
      <c r="I3" s="1" t="s">
        <v>347</v>
      </c>
    </row>
    <row r="4" spans="1:12" x14ac:dyDescent="0.35">
      <c r="A4" s="3">
        <v>45663</v>
      </c>
      <c r="B4" s="1" t="s">
        <v>57</v>
      </c>
      <c r="C4" s="1" t="s">
        <v>90</v>
      </c>
      <c r="D4" s="1" t="s">
        <v>91</v>
      </c>
      <c r="E4" s="1">
        <v>13</v>
      </c>
      <c r="F4" s="8">
        <v>250000</v>
      </c>
      <c r="G4" s="10">
        <f t="shared" si="0"/>
        <v>3250000</v>
      </c>
      <c r="H4" s="1" t="s">
        <v>342</v>
      </c>
      <c r="I4" s="1" t="s">
        <v>246</v>
      </c>
    </row>
    <row r="5" spans="1:12" x14ac:dyDescent="0.35">
      <c r="A5" s="3">
        <v>45666</v>
      </c>
      <c r="B5" s="1" t="s">
        <v>77</v>
      </c>
      <c r="C5" s="1" t="s">
        <v>81</v>
      </c>
      <c r="D5" s="1" t="s">
        <v>19</v>
      </c>
      <c r="E5" s="1">
        <v>12</v>
      </c>
      <c r="F5" s="8">
        <v>150000</v>
      </c>
      <c r="G5" s="10">
        <f t="shared" si="0"/>
        <v>1800000</v>
      </c>
      <c r="H5" s="1" t="s">
        <v>229</v>
      </c>
      <c r="I5" s="1" t="s">
        <v>51</v>
      </c>
    </row>
    <row r="6" spans="1:12" x14ac:dyDescent="0.35">
      <c r="A6" s="3">
        <v>45668</v>
      </c>
      <c r="B6" s="1" t="s">
        <v>47</v>
      </c>
      <c r="C6" s="1" t="s">
        <v>354</v>
      </c>
      <c r="D6" s="1" t="s">
        <v>337</v>
      </c>
      <c r="E6" s="1">
        <v>11</v>
      </c>
      <c r="F6" s="8">
        <v>65000</v>
      </c>
      <c r="G6" s="10">
        <f t="shared" si="0"/>
        <v>715000</v>
      </c>
      <c r="H6" s="1" t="s">
        <v>89</v>
      </c>
      <c r="I6" s="1" t="s">
        <v>348</v>
      </c>
    </row>
    <row r="7" spans="1:12" x14ac:dyDescent="0.35">
      <c r="A7" s="3">
        <v>45669</v>
      </c>
      <c r="B7" s="1" t="s">
        <v>57</v>
      </c>
      <c r="C7" s="1" t="s">
        <v>352</v>
      </c>
      <c r="D7" s="1" t="s">
        <v>124</v>
      </c>
      <c r="E7" s="1">
        <v>17</v>
      </c>
      <c r="F7" s="8">
        <v>350000</v>
      </c>
      <c r="G7" s="10">
        <f t="shared" si="0"/>
        <v>5950000</v>
      </c>
      <c r="H7" s="1" t="s">
        <v>311</v>
      </c>
      <c r="I7" s="1" t="s">
        <v>347</v>
      </c>
    </row>
    <row r="8" spans="1:12" x14ac:dyDescent="0.35">
      <c r="A8" s="3">
        <v>45670</v>
      </c>
      <c r="B8" s="1" t="s">
        <v>8</v>
      </c>
      <c r="C8" s="1" t="s">
        <v>353</v>
      </c>
      <c r="D8" s="1" t="s">
        <v>19</v>
      </c>
      <c r="E8" s="1">
        <v>8</v>
      </c>
      <c r="F8" s="8">
        <v>180000</v>
      </c>
      <c r="G8" s="10">
        <f t="shared" si="0"/>
        <v>1440000</v>
      </c>
      <c r="H8" s="1" t="s">
        <v>60</v>
      </c>
      <c r="I8" s="1" t="s">
        <v>61</v>
      </c>
    </row>
    <row r="9" spans="1:12" x14ac:dyDescent="0.35">
      <c r="A9" s="3">
        <v>45670</v>
      </c>
      <c r="B9" s="1" t="s">
        <v>47</v>
      </c>
      <c r="C9" s="1" t="s">
        <v>352</v>
      </c>
      <c r="D9" s="1" t="s">
        <v>124</v>
      </c>
      <c r="E9" s="1">
        <v>15</v>
      </c>
      <c r="F9" s="8">
        <v>350000</v>
      </c>
      <c r="G9" s="10">
        <f t="shared" si="0"/>
        <v>5250000</v>
      </c>
      <c r="H9" s="1" t="s">
        <v>89</v>
      </c>
      <c r="I9" s="1" t="s">
        <v>348</v>
      </c>
    </row>
    <row r="10" spans="1:12" x14ac:dyDescent="0.35">
      <c r="A10" s="3">
        <v>45671</v>
      </c>
      <c r="B10" s="1" t="s">
        <v>47</v>
      </c>
      <c r="C10" s="1" t="s">
        <v>354</v>
      </c>
      <c r="D10" s="1" t="s">
        <v>337</v>
      </c>
      <c r="E10" s="1">
        <v>13</v>
      </c>
      <c r="F10" s="8">
        <v>57912</v>
      </c>
      <c r="G10" s="10">
        <f t="shared" si="0"/>
        <v>752856</v>
      </c>
      <c r="H10" s="1" t="s">
        <v>229</v>
      </c>
      <c r="I10" s="1" t="s">
        <v>189</v>
      </c>
    </row>
    <row r="11" spans="1:12" x14ac:dyDescent="0.35">
      <c r="A11" s="3">
        <v>45671</v>
      </c>
      <c r="B11" s="1" t="s">
        <v>77</v>
      </c>
      <c r="C11" s="1" t="s">
        <v>90</v>
      </c>
      <c r="D11" s="1" t="s">
        <v>91</v>
      </c>
      <c r="E11" s="1">
        <v>14</v>
      </c>
      <c r="F11" s="8">
        <v>250000</v>
      </c>
      <c r="G11" s="10">
        <f t="shared" si="0"/>
        <v>3500000</v>
      </c>
      <c r="H11" s="1" t="s">
        <v>89</v>
      </c>
      <c r="I11" s="1" t="s">
        <v>246</v>
      </c>
    </row>
    <row r="12" spans="1:12" x14ac:dyDescent="0.35">
      <c r="A12" s="3">
        <v>45671</v>
      </c>
      <c r="B12" s="1" t="s">
        <v>47</v>
      </c>
      <c r="C12" s="1" t="s">
        <v>354</v>
      </c>
      <c r="D12" s="1" t="s">
        <v>337</v>
      </c>
      <c r="E12" s="1">
        <v>18</v>
      </c>
      <c r="F12" s="8">
        <v>65000</v>
      </c>
      <c r="G12" s="10">
        <f t="shared" si="0"/>
        <v>1170000</v>
      </c>
      <c r="H12" s="1" t="s">
        <v>89</v>
      </c>
      <c r="I12" s="1" t="s">
        <v>189</v>
      </c>
    </row>
    <row r="13" spans="1:12" x14ac:dyDescent="0.35">
      <c r="A13" s="3">
        <v>45673</v>
      </c>
      <c r="B13" s="1" t="s">
        <v>57</v>
      </c>
      <c r="C13" s="1" t="s">
        <v>356</v>
      </c>
      <c r="D13" s="1" t="s">
        <v>166</v>
      </c>
      <c r="E13" s="1">
        <v>11</v>
      </c>
      <c r="F13" s="8">
        <v>85000</v>
      </c>
      <c r="G13" s="10">
        <f t="shared" si="0"/>
        <v>935000</v>
      </c>
      <c r="H13" s="1" t="s">
        <v>342</v>
      </c>
      <c r="I13" s="1" t="s">
        <v>189</v>
      </c>
    </row>
    <row r="14" spans="1:12" x14ac:dyDescent="0.35">
      <c r="A14" s="3">
        <v>45673</v>
      </c>
      <c r="B14" s="1" t="s">
        <v>77</v>
      </c>
      <c r="C14" s="1" t="s">
        <v>356</v>
      </c>
      <c r="D14" s="1" t="s">
        <v>166</v>
      </c>
      <c r="E14" s="1">
        <v>10</v>
      </c>
      <c r="F14" s="8">
        <v>85000</v>
      </c>
      <c r="G14" s="10">
        <f t="shared" si="0"/>
        <v>850000</v>
      </c>
      <c r="H14" s="1" t="s">
        <v>60</v>
      </c>
      <c r="I14" s="1" t="s">
        <v>346</v>
      </c>
    </row>
    <row r="15" spans="1:12" x14ac:dyDescent="0.35">
      <c r="A15" s="3">
        <v>45680</v>
      </c>
      <c r="B15" s="1" t="s">
        <v>77</v>
      </c>
      <c r="C15" s="1" t="s">
        <v>81</v>
      </c>
      <c r="D15" s="1" t="s">
        <v>19</v>
      </c>
      <c r="E15" s="1">
        <v>10</v>
      </c>
      <c r="F15" s="8">
        <v>150000</v>
      </c>
      <c r="G15" s="10">
        <f t="shared" si="0"/>
        <v>1500000</v>
      </c>
      <c r="H15" s="1" t="s">
        <v>89</v>
      </c>
      <c r="I15" s="1" t="s">
        <v>100</v>
      </c>
    </row>
    <row r="16" spans="1:12" x14ac:dyDescent="0.35">
      <c r="A16" s="3">
        <v>45680</v>
      </c>
      <c r="B16" s="1" t="s">
        <v>57</v>
      </c>
      <c r="C16" s="1" t="s">
        <v>352</v>
      </c>
      <c r="D16" s="1" t="s">
        <v>124</v>
      </c>
      <c r="E16" s="1">
        <v>13</v>
      </c>
      <c r="F16" s="8">
        <v>350000</v>
      </c>
      <c r="G16" s="10">
        <f t="shared" si="0"/>
        <v>4550000</v>
      </c>
      <c r="H16" s="1" t="s">
        <v>229</v>
      </c>
      <c r="I16" s="1" t="s">
        <v>347</v>
      </c>
    </row>
    <row r="17" spans="1:9" x14ac:dyDescent="0.35">
      <c r="A17" s="3">
        <v>45684</v>
      </c>
      <c r="B17" s="1" t="s">
        <v>8</v>
      </c>
      <c r="C17" s="1" t="s">
        <v>352</v>
      </c>
      <c r="D17" s="1" t="s">
        <v>124</v>
      </c>
      <c r="E17" s="1">
        <v>13</v>
      </c>
      <c r="F17" s="8">
        <v>350000</v>
      </c>
      <c r="G17" s="10">
        <f t="shared" si="0"/>
        <v>4550000</v>
      </c>
      <c r="H17" s="1" t="s">
        <v>89</v>
      </c>
      <c r="I17" s="1" t="s">
        <v>189</v>
      </c>
    </row>
    <row r="18" spans="1:9" x14ac:dyDescent="0.35">
      <c r="A18" s="3">
        <v>45685</v>
      </c>
      <c r="B18" s="1" t="s">
        <v>47</v>
      </c>
      <c r="C18" s="1" t="s">
        <v>353</v>
      </c>
      <c r="D18" s="1" t="s">
        <v>19</v>
      </c>
      <c r="E18" s="1">
        <v>5</v>
      </c>
      <c r="F18" s="8">
        <v>180000</v>
      </c>
      <c r="G18" s="10">
        <f t="shared" si="0"/>
        <v>900000</v>
      </c>
      <c r="H18" s="1" t="s">
        <v>134</v>
      </c>
      <c r="I18" s="1" t="s">
        <v>246</v>
      </c>
    </row>
    <row r="19" spans="1:9" x14ac:dyDescent="0.35">
      <c r="A19" s="3">
        <v>45686</v>
      </c>
      <c r="B19" s="1" t="s">
        <v>57</v>
      </c>
      <c r="C19" s="1" t="s">
        <v>353</v>
      </c>
      <c r="D19" s="1" t="s">
        <v>19</v>
      </c>
      <c r="E19" s="1">
        <v>14</v>
      </c>
      <c r="F19" s="8">
        <v>180000</v>
      </c>
      <c r="G19" s="10">
        <f t="shared" si="0"/>
        <v>2520000</v>
      </c>
      <c r="H19" s="1" t="s">
        <v>229</v>
      </c>
      <c r="I19" s="1" t="s">
        <v>344</v>
      </c>
    </row>
    <row r="20" spans="1:9" x14ac:dyDescent="0.35">
      <c r="A20" s="3">
        <v>45687</v>
      </c>
      <c r="B20" s="1" t="s">
        <v>77</v>
      </c>
      <c r="C20" s="1" t="s">
        <v>354</v>
      </c>
      <c r="D20" s="1" t="s">
        <v>339</v>
      </c>
      <c r="E20" s="1">
        <v>18</v>
      </c>
      <c r="F20" s="8">
        <v>65000</v>
      </c>
      <c r="G20" s="10">
        <f t="shared" si="0"/>
        <v>1170000</v>
      </c>
      <c r="H20" s="1" t="s">
        <v>89</v>
      </c>
      <c r="I20" s="1" t="s">
        <v>350</v>
      </c>
    </row>
    <row r="21" spans="1:9" x14ac:dyDescent="0.35">
      <c r="A21" s="3">
        <v>45688</v>
      </c>
      <c r="B21" s="1" t="s">
        <v>77</v>
      </c>
      <c r="C21" s="1" t="s">
        <v>355</v>
      </c>
      <c r="D21" s="1" t="s">
        <v>85</v>
      </c>
      <c r="E21" s="1">
        <v>10</v>
      </c>
      <c r="F21" s="8">
        <v>175000</v>
      </c>
      <c r="G21" s="10">
        <f t="shared" si="0"/>
        <v>1750000</v>
      </c>
      <c r="H21" s="1" t="s">
        <v>229</v>
      </c>
      <c r="I21" s="1" t="s">
        <v>61</v>
      </c>
    </row>
    <row r="22" spans="1:9" x14ac:dyDescent="0.35">
      <c r="A22" s="3">
        <v>45688</v>
      </c>
      <c r="B22" s="1" t="s">
        <v>57</v>
      </c>
      <c r="C22" s="1" t="s">
        <v>90</v>
      </c>
      <c r="D22" s="1" t="s">
        <v>340</v>
      </c>
      <c r="E22" s="1">
        <v>20</v>
      </c>
      <c r="F22" s="8">
        <v>250000</v>
      </c>
      <c r="G22" s="10">
        <f t="shared" si="0"/>
        <v>5000000</v>
      </c>
      <c r="H22" s="1" t="s">
        <v>60</v>
      </c>
      <c r="I22" s="1" t="s">
        <v>61</v>
      </c>
    </row>
    <row r="23" spans="1:9" x14ac:dyDescent="0.35">
      <c r="A23" s="3">
        <v>45689</v>
      </c>
      <c r="B23" s="1" t="s">
        <v>77</v>
      </c>
      <c r="C23" s="1" t="s">
        <v>355</v>
      </c>
      <c r="D23" s="1" t="s">
        <v>85</v>
      </c>
      <c r="E23" s="1">
        <v>14</v>
      </c>
      <c r="F23" s="8">
        <v>175000</v>
      </c>
      <c r="G23" s="10">
        <f t="shared" si="0"/>
        <v>2450000</v>
      </c>
      <c r="H23" s="1" t="s">
        <v>229</v>
      </c>
      <c r="I23" s="1" t="s">
        <v>343</v>
      </c>
    </row>
    <row r="24" spans="1:9" x14ac:dyDescent="0.35">
      <c r="A24" s="3">
        <v>45689</v>
      </c>
      <c r="B24" s="1" t="s">
        <v>8</v>
      </c>
      <c r="C24" s="1" t="s">
        <v>352</v>
      </c>
      <c r="D24" s="1" t="s">
        <v>338</v>
      </c>
      <c r="E24" s="1">
        <v>15</v>
      </c>
      <c r="F24" s="8">
        <v>350000</v>
      </c>
      <c r="G24" s="10">
        <f t="shared" si="0"/>
        <v>5250000</v>
      </c>
      <c r="H24" s="1" t="s">
        <v>336</v>
      </c>
      <c r="I24" s="1" t="s">
        <v>344</v>
      </c>
    </row>
    <row r="25" spans="1:9" x14ac:dyDescent="0.35">
      <c r="A25" s="3">
        <v>45690</v>
      </c>
      <c r="B25" s="1" t="s">
        <v>77</v>
      </c>
      <c r="C25" s="1" t="s">
        <v>352</v>
      </c>
      <c r="D25" s="1" t="s">
        <v>124</v>
      </c>
      <c r="E25" s="1">
        <v>18</v>
      </c>
      <c r="F25" s="8">
        <v>35000</v>
      </c>
      <c r="G25" s="10">
        <f t="shared" si="0"/>
        <v>630000</v>
      </c>
      <c r="H25" s="1" t="s">
        <v>89</v>
      </c>
      <c r="I25" s="1" t="s">
        <v>347</v>
      </c>
    </row>
    <row r="26" spans="1:9" x14ac:dyDescent="0.35">
      <c r="A26" s="3">
        <v>45690</v>
      </c>
      <c r="B26" s="1" t="s">
        <v>47</v>
      </c>
      <c r="C26" s="1" t="s">
        <v>81</v>
      </c>
      <c r="D26" s="1" t="s">
        <v>19</v>
      </c>
      <c r="E26" s="1">
        <v>4</v>
      </c>
      <c r="F26" s="8">
        <v>150000</v>
      </c>
      <c r="G26" s="10">
        <f t="shared" si="0"/>
        <v>600000</v>
      </c>
      <c r="H26" s="1" t="s">
        <v>311</v>
      </c>
      <c r="I26" s="1" t="s">
        <v>349</v>
      </c>
    </row>
    <row r="27" spans="1:9" x14ac:dyDescent="0.35">
      <c r="A27" s="3">
        <v>45693</v>
      </c>
      <c r="B27" s="1" t="s">
        <v>8</v>
      </c>
      <c r="C27" s="1" t="s">
        <v>90</v>
      </c>
      <c r="D27" s="1" t="s">
        <v>91</v>
      </c>
      <c r="E27" s="1">
        <v>5</v>
      </c>
      <c r="F27" s="8">
        <v>25000</v>
      </c>
      <c r="G27" s="10">
        <f t="shared" si="0"/>
        <v>125000</v>
      </c>
      <c r="H27" s="1" t="s">
        <v>60</v>
      </c>
      <c r="I27" s="1" t="s">
        <v>344</v>
      </c>
    </row>
    <row r="28" spans="1:9" x14ac:dyDescent="0.35">
      <c r="A28" s="3">
        <v>45693</v>
      </c>
      <c r="B28" s="1" t="s">
        <v>8</v>
      </c>
      <c r="C28" s="1" t="s">
        <v>90</v>
      </c>
      <c r="D28" s="1" t="s">
        <v>91</v>
      </c>
      <c r="E28" s="1">
        <v>20</v>
      </c>
      <c r="F28" s="8">
        <v>250000</v>
      </c>
      <c r="G28" s="10">
        <f t="shared" si="0"/>
        <v>5000000</v>
      </c>
      <c r="H28" s="1" t="s">
        <v>229</v>
      </c>
      <c r="I28" s="1" t="s">
        <v>16</v>
      </c>
    </row>
    <row r="29" spans="1:9" x14ac:dyDescent="0.35">
      <c r="A29" s="3">
        <v>45694</v>
      </c>
      <c r="B29" s="1" t="s">
        <v>47</v>
      </c>
      <c r="C29" s="1" t="s">
        <v>352</v>
      </c>
      <c r="D29" s="1" t="s">
        <v>124</v>
      </c>
      <c r="E29" s="1">
        <v>8</v>
      </c>
      <c r="F29" s="8">
        <v>350000</v>
      </c>
      <c r="G29" s="10">
        <f t="shared" si="0"/>
        <v>2800000</v>
      </c>
      <c r="H29" s="1" t="s">
        <v>134</v>
      </c>
      <c r="I29" s="1" t="s">
        <v>189</v>
      </c>
    </row>
    <row r="30" spans="1:9" x14ac:dyDescent="0.35">
      <c r="A30" s="3">
        <v>45694</v>
      </c>
      <c r="B30" s="1" t="s">
        <v>47</v>
      </c>
      <c r="C30" s="1" t="s">
        <v>90</v>
      </c>
      <c r="D30" s="1" t="s">
        <v>91</v>
      </c>
      <c r="E30" s="1">
        <v>20</v>
      </c>
      <c r="F30" s="8">
        <v>2500000</v>
      </c>
      <c r="G30" s="10">
        <f t="shared" si="0"/>
        <v>50000000</v>
      </c>
      <c r="H30" s="1" t="s">
        <v>134</v>
      </c>
      <c r="I30" s="1" t="s">
        <v>61</v>
      </c>
    </row>
    <row r="31" spans="1:9" x14ac:dyDescent="0.35">
      <c r="A31" s="3">
        <v>45694</v>
      </c>
      <c r="B31" s="1" t="s">
        <v>8</v>
      </c>
      <c r="C31" s="1" t="s">
        <v>352</v>
      </c>
      <c r="D31" s="1" t="s">
        <v>124</v>
      </c>
      <c r="E31" s="1">
        <v>11</v>
      </c>
      <c r="F31" s="8">
        <v>350000</v>
      </c>
      <c r="G31" s="10">
        <f t="shared" si="0"/>
        <v>3850000</v>
      </c>
      <c r="H31" s="1" t="s">
        <v>89</v>
      </c>
      <c r="I31" s="1" t="s">
        <v>348</v>
      </c>
    </row>
    <row r="32" spans="1:9" x14ac:dyDescent="0.35">
      <c r="A32" s="3">
        <v>45695</v>
      </c>
      <c r="B32" s="1" t="s">
        <v>8</v>
      </c>
      <c r="C32" s="1" t="s">
        <v>354</v>
      </c>
      <c r="D32" s="1" t="s">
        <v>337</v>
      </c>
      <c r="E32" s="1">
        <v>4</v>
      </c>
      <c r="F32" s="8">
        <v>73740</v>
      </c>
      <c r="G32" s="10">
        <f t="shared" si="0"/>
        <v>294960</v>
      </c>
      <c r="H32" s="1" t="s">
        <v>311</v>
      </c>
      <c r="I32" s="1" t="s">
        <v>350</v>
      </c>
    </row>
    <row r="33" spans="1:9" x14ac:dyDescent="0.35">
      <c r="A33" s="3">
        <v>45698</v>
      </c>
      <c r="B33" s="1" t="s">
        <v>47</v>
      </c>
      <c r="C33" s="1" t="s">
        <v>354</v>
      </c>
      <c r="D33" s="1" t="s">
        <v>337</v>
      </c>
      <c r="E33" s="1">
        <v>2</v>
      </c>
      <c r="F33" s="8">
        <v>65000</v>
      </c>
      <c r="G33" s="10">
        <f t="shared" si="0"/>
        <v>130000</v>
      </c>
      <c r="H33" s="1" t="s">
        <v>134</v>
      </c>
      <c r="I33" s="1" t="s">
        <v>345</v>
      </c>
    </row>
    <row r="34" spans="1:9" x14ac:dyDescent="0.35">
      <c r="A34" s="3">
        <v>45701</v>
      </c>
      <c r="B34" s="1" t="s">
        <v>47</v>
      </c>
      <c r="C34" s="1" t="s">
        <v>90</v>
      </c>
      <c r="D34" s="1" t="s">
        <v>91</v>
      </c>
      <c r="E34" s="1">
        <v>11</v>
      </c>
      <c r="F34" s="8">
        <v>2500000</v>
      </c>
      <c r="G34" s="10">
        <f t="shared" ref="G34:G65" si="1">PRODUCT(E34,F34)</f>
        <v>27500000</v>
      </c>
      <c r="H34" s="1" t="s">
        <v>229</v>
      </c>
      <c r="I34" s="1" t="s">
        <v>61</v>
      </c>
    </row>
    <row r="35" spans="1:9" x14ac:dyDescent="0.35">
      <c r="A35" s="3">
        <v>45704</v>
      </c>
      <c r="B35" s="1" t="s">
        <v>77</v>
      </c>
      <c r="C35" s="1" t="s">
        <v>355</v>
      </c>
      <c r="D35" s="1" t="s">
        <v>85</v>
      </c>
      <c r="E35" s="1">
        <v>8</v>
      </c>
      <c r="F35" s="8">
        <v>175000</v>
      </c>
      <c r="G35" s="10">
        <f t="shared" si="1"/>
        <v>1400000</v>
      </c>
      <c r="H35" s="1" t="s">
        <v>134</v>
      </c>
      <c r="I35" s="1" t="s">
        <v>343</v>
      </c>
    </row>
    <row r="36" spans="1:9" x14ac:dyDescent="0.35">
      <c r="A36" s="3">
        <v>45707</v>
      </c>
      <c r="B36" s="1" t="s">
        <v>47</v>
      </c>
      <c r="C36" s="1" t="s">
        <v>81</v>
      </c>
      <c r="D36" s="1" t="s">
        <v>19</v>
      </c>
      <c r="E36" s="1">
        <v>9</v>
      </c>
      <c r="F36" s="8">
        <v>150000</v>
      </c>
      <c r="G36" s="10">
        <f t="shared" si="1"/>
        <v>1350000</v>
      </c>
      <c r="H36" s="1" t="s">
        <v>311</v>
      </c>
      <c r="I36" s="1" t="s">
        <v>346</v>
      </c>
    </row>
    <row r="37" spans="1:9" x14ac:dyDescent="0.35">
      <c r="A37" s="3">
        <v>45707</v>
      </c>
      <c r="B37" s="1" t="s">
        <v>77</v>
      </c>
      <c r="C37" s="1" t="s">
        <v>90</v>
      </c>
      <c r="D37" s="1" t="s">
        <v>91</v>
      </c>
      <c r="E37" s="1">
        <v>5</v>
      </c>
      <c r="F37" s="8">
        <v>250000</v>
      </c>
      <c r="G37" s="10">
        <f t="shared" si="1"/>
        <v>1250000</v>
      </c>
      <c r="H37" s="1" t="s">
        <v>311</v>
      </c>
      <c r="I37" s="1" t="s">
        <v>350</v>
      </c>
    </row>
    <row r="38" spans="1:9" x14ac:dyDescent="0.35">
      <c r="A38" s="3">
        <v>45708</v>
      </c>
      <c r="B38" s="1" t="s">
        <v>8</v>
      </c>
      <c r="C38" s="1" t="s">
        <v>356</v>
      </c>
      <c r="D38" s="1" t="s">
        <v>166</v>
      </c>
      <c r="E38" s="1">
        <v>18</v>
      </c>
      <c r="F38" s="8">
        <v>85000</v>
      </c>
      <c r="G38" s="10">
        <f t="shared" si="1"/>
        <v>1530000</v>
      </c>
      <c r="H38" s="1" t="s">
        <v>134</v>
      </c>
      <c r="I38" s="1" t="s">
        <v>348</v>
      </c>
    </row>
    <row r="39" spans="1:9" x14ac:dyDescent="0.35">
      <c r="A39" s="3">
        <v>45708</v>
      </c>
      <c r="B39" s="1" t="s">
        <v>47</v>
      </c>
      <c r="C39" s="1" t="s">
        <v>356</v>
      </c>
      <c r="D39" s="1" t="s">
        <v>166</v>
      </c>
      <c r="E39" s="1">
        <v>7</v>
      </c>
      <c r="F39" s="8">
        <v>89233</v>
      </c>
      <c r="G39" s="10">
        <f t="shared" si="1"/>
        <v>624631</v>
      </c>
      <c r="H39" s="1" t="s">
        <v>229</v>
      </c>
      <c r="I39" s="1" t="s">
        <v>189</v>
      </c>
    </row>
    <row r="40" spans="1:9" x14ac:dyDescent="0.35">
      <c r="A40" s="3">
        <v>45710</v>
      </c>
      <c r="B40" s="1" t="s">
        <v>77</v>
      </c>
      <c r="C40" s="1" t="s">
        <v>354</v>
      </c>
      <c r="D40" s="1" t="s">
        <v>337</v>
      </c>
      <c r="E40" s="1">
        <v>18</v>
      </c>
      <c r="F40" s="8">
        <v>650000</v>
      </c>
      <c r="G40" s="10">
        <f t="shared" si="1"/>
        <v>11700000</v>
      </c>
      <c r="H40" s="1" t="s">
        <v>342</v>
      </c>
      <c r="I40" s="1" t="s">
        <v>349</v>
      </c>
    </row>
    <row r="41" spans="1:9" x14ac:dyDescent="0.35">
      <c r="A41" s="3">
        <v>45712</v>
      </c>
      <c r="B41" s="1" t="s">
        <v>77</v>
      </c>
      <c r="C41" s="1" t="s">
        <v>355</v>
      </c>
      <c r="D41" s="1" t="s">
        <v>85</v>
      </c>
      <c r="E41" s="1">
        <v>2</v>
      </c>
      <c r="F41" s="8">
        <v>175000</v>
      </c>
      <c r="G41" s="10">
        <f t="shared" si="1"/>
        <v>350000</v>
      </c>
      <c r="H41" s="1" t="s">
        <v>134</v>
      </c>
      <c r="I41" s="1" t="s">
        <v>347</v>
      </c>
    </row>
    <row r="42" spans="1:9" x14ac:dyDescent="0.35">
      <c r="A42" s="3">
        <v>45713</v>
      </c>
      <c r="B42" s="1" t="s">
        <v>57</v>
      </c>
      <c r="C42" s="1" t="s">
        <v>356</v>
      </c>
      <c r="D42" s="1" t="s">
        <v>166</v>
      </c>
      <c r="E42" s="1">
        <v>6</v>
      </c>
      <c r="F42" s="8">
        <v>85000</v>
      </c>
      <c r="G42" s="10">
        <f t="shared" si="1"/>
        <v>510000</v>
      </c>
      <c r="H42" s="1" t="s">
        <v>60</v>
      </c>
      <c r="I42" s="1" t="s">
        <v>61</v>
      </c>
    </row>
    <row r="43" spans="1:9" x14ac:dyDescent="0.35">
      <c r="A43" s="3">
        <v>45713</v>
      </c>
      <c r="B43" s="1" t="s">
        <v>57</v>
      </c>
      <c r="C43" s="1" t="s">
        <v>81</v>
      </c>
      <c r="D43" s="1" t="s">
        <v>19</v>
      </c>
      <c r="E43" s="1">
        <v>3</v>
      </c>
      <c r="F43" s="8">
        <v>150000</v>
      </c>
      <c r="G43" s="10">
        <f t="shared" si="1"/>
        <v>450000</v>
      </c>
      <c r="H43" s="1" t="s">
        <v>311</v>
      </c>
      <c r="I43" s="1" t="s">
        <v>350</v>
      </c>
    </row>
    <row r="44" spans="1:9" x14ac:dyDescent="0.35">
      <c r="A44" s="3">
        <v>45714</v>
      </c>
      <c r="B44" s="1" t="s">
        <v>57</v>
      </c>
      <c r="C44" s="1" t="s">
        <v>355</v>
      </c>
      <c r="D44" s="1" t="s">
        <v>85</v>
      </c>
      <c r="E44" s="1">
        <v>5</v>
      </c>
      <c r="F44" s="8">
        <v>175000</v>
      </c>
      <c r="G44" s="10">
        <f t="shared" si="1"/>
        <v>875000</v>
      </c>
      <c r="H44" s="1" t="s">
        <v>89</v>
      </c>
      <c r="I44" s="1" t="s">
        <v>189</v>
      </c>
    </row>
    <row r="45" spans="1:9" x14ac:dyDescent="0.35">
      <c r="A45" s="3">
        <v>45714</v>
      </c>
      <c r="B45" s="1" t="s">
        <v>8</v>
      </c>
      <c r="C45" s="1" t="s">
        <v>81</v>
      </c>
      <c r="D45" s="1" t="s">
        <v>19</v>
      </c>
      <c r="E45" s="1">
        <v>19</v>
      </c>
      <c r="F45" s="8">
        <v>150000</v>
      </c>
      <c r="G45" s="10">
        <f t="shared" si="1"/>
        <v>2850000</v>
      </c>
      <c r="H45" s="1" t="s">
        <v>334</v>
      </c>
      <c r="I45" s="1" t="s">
        <v>346</v>
      </c>
    </row>
    <row r="46" spans="1:9" x14ac:dyDescent="0.35">
      <c r="A46" s="3">
        <v>45714</v>
      </c>
      <c r="B46" s="1" t="s">
        <v>8</v>
      </c>
      <c r="C46" s="1" t="s">
        <v>354</v>
      </c>
      <c r="D46" s="1" t="s">
        <v>337</v>
      </c>
      <c r="E46" s="1">
        <v>19</v>
      </c>
      <c r="F46" s="8">
        <v>65000</v>
      </c>
      <c r="G46" s="10">
        <f t="shared" si="1"/>
        <v>1235000</v>
      </c>
      <c r="H46" s="1" t="s">
        <v>342</v>
      </c>
      <c r="I46" s="1" t="s">
        <v>189</v>
      </c>
    </row>
    <row r="47" spans="1:9" x14ac:dyDescent="0.35">
      <c r="A47" s="3">
        <v>45716</v>
      </c>
      <c r="B47" s="1" t="s">
        <v>77</v>
      </c>
      <c r="C47" s="1" t="s">
        <v>356</v>
      </c>
      <c r="D47" s="1" t="s">
        <v>166</v>
      </c>
      <c r="E47" s="1">
        <v>18</v>
      </c>
      <c r="F47" s="8">
        <v>85000</v>
      </c>
      <c r="G47" s="10">
        <f t="shared" si="1"/>
        <v>1530000</v>
      </c>
      <c r="H47" s="1" t="s">
        <v>341</v>
      </c>
      <c r="I47" s="1" t="s">
        <v>51</v>
      </c>
    </row>
    <row r="48" spans="1:9" x14ac:dyDescent="0.35">
      <c r="A48" s="3">
        <v>45719</v>
      </c>
      <c r="B48" s="1" t="s">
        <v>77</v>
      </c>
      <c r="C48" s="1" t="s">
        <v>81</v>
      </c>
      <c r="D48" s="1" t="s">
        <v>19</v>
      </c>
      <c r="E48" s="1">
        <v>18</v>
      </c>
      <c r="F48" s="8">
        <v>150000</v>
      </c>
      <c r="G48" s="10">
        <f t="shared" si="1"/>
        <v>2700000</v>
      </c>
      <c r="H48" s="1" t="s">
        <v>229</v>
      </c>
      <c r="I48" s="1" t="s">
        <v>51</v>
      </c>
    </row>
    <row r="49" spans="1:9" x14ac:dyDescent="0.35">
      <c r="A49" s="3">
        <v>45723</v>
      </c>
      <c r="B49" s="1" t="s">
        <v>77</v>
      </c>
      <c r="C49" s="1" t="s">
        <v>355</v>
      </c>
      <c r="D49" s="1" t="s">
        <v>85</v>
      </c>
      <c r="E49" s="1">
        <v>18</v>
      </c>
      <c r="F49" s="8">
        <v>175000</v>
      </c>
      <c r="G49" s="10">
        <f t="shared" si="1"/>
        <v>3150000</v>
      </c>
      <c r="H49" s="1" t="s">
        <v>342</v>
      </c>
      <c r="I49" s="1" t="s">
        <v>343</v>
      </c>
    </row>
    <row r="50" spans="1:9" x14ac:dyDescent="0.35">
      <c r="A50" s="3">
        <v>45724</v>
      </c>
      <c r="B50" s="1" t="s">
        <v>57</v>
      </c>
      <c r="C50" s="1" t="s">
        <v>353</v>
      </c>
      <c r="D50" s="1" t="s">
        <v>19</v>
      </c>
      <c r="E50" s="1">
        <v>9</v>
      </c>
      <c r="F50" s="8">
        <v>180000</v>
      </c>
      <c r="G50" s="10">
        <f t="shared" si="1"/>
        <v>1620000</v>
      </c>
      <c r="H50" s="1" t="s">
        <v>60</v>
      </c>
      <c r="I50" s="1" t="s">
        <v>351</v>
      </c>
    </row>
    <row r="51" spans="1:9" x14ac:dyDescent="0.35">
      <c r="A51" s="3">
        <v>45725</v>
      </c>
      <c r="B51" s="1" t="s">
        <v>77</v>
      </c>
      <c r="C51" s="1" t="s">
        <v>90</v>
      </c>
      <c r="D51" s="1" t="s">
        <v>91</v>
      </c>
      <c r="E51" s="1">
        <v>20</v>
      </c>
      <c r="F51" s="8">
        <v>250000</v>
      </c>
      <c r="G51" s="10">
        <f t="shared" si="1"/>
        <v>5000000</v>
      </c>
      <c r="H51" s="1" t="s">
        <v>341</v>
      </c>
      <c r="I51" s="1" t="s">
        <v>189</v>
      </c>
    </row>
    <row r="52" spans="1:9" x14ac:dyDescent="0.35">
      <c r="A52" s="3">
        <v>45731</v>
      </c>
      <c r="B52" s="1" t="s">
        <v>8</v>
      </c>
      <c r="C52" s="1" t="s">
        <v>355</v>
      </c>
      <c r="D52" s="1" t="s">
        <v>85</v>
      </c>
      <c r="E52" s="1">
        <v>10</v>
      </c>
      <c r="F52" s="8">
        <v>175000</v>
      </c>
      <c r="G52" s="10">
        <f t="shared" si="1"/>
        <v>1750000</v>
      </c>
      <c r="H52" s="1" t="s">
        <v>60</v>
      </c>
      <c r="I52" s="1" t="s">
        <v>349</v>
      </c>
    </row>
    <row r="53" spans="1:9" x14ac:dyDescent="0.35">
      <c r="A53" s="3">
        <v>45735</v>
      </c>
      <c r="B53" s="1" t="s">
        <v>8</v>
      </c>
      <c r="C53" s="1" t="s">
        <v>81</v>
      </c>
      <c r="D53" s="1" t="s">
        <v>19</v>
      </c>
      <c r="E53" s="1">
        <v>6</v>
      </c>
      <c r="F53" s="8">
        <v>150000</v>
      </c>
      <c r="G53" s="10">
        <f t="shared" si="1"/>
        <v>900000</v>
      </c>
      <c r="H53" s="1" t="s">
        <v>134</v>
      </c>
      <c r="I53" s="1" t="s">
        <v>189</v>
      </c>
    </row>
    <row r="54" spans="1:9" x14ac:dyDescent="0.35">
      <c r="A54" s="3">
        <v>45740</v>
      </c>
      <c r="B54" s="1" t="s">
        <v>77</v>
      </c>
      <c r="C54" s="1" t="s">
        <v>81</v>
      </c>
      <c r="D54" s="1" t="s">
        <v>19</v>
      </c>
      <c r="E54" s="1">
        <v>20</v>
      </c>
      <c r="F54" s="8">
        <v>150000</v>
      </c>
      <c r="G54" s="10">
        <f t="shared" si="1"/>
        <v>3000000</v>
      </c>
      <c r="H54" s="1" t="s">
        <v>229</v>
      </c>
      <c r="I54" s="1" t="s">
        <v>100</v>
      </c>
    </row>
    <row r="55" spans="1:9" x14ac:dyDescent="0.35">
      <c r="A55" s="3">
        <v>45740</v>
      </c>
      <c r="B55" s="1" t="s">
        <v>47</v>
      </c>
      <c r="C55" s="1" t="s">
        <v>354</v>
      </c>
      <c r="D55" s="1" t="s">
        <v>337</v>
      </c>
      <c r="E55" s="1">
        <v>5</v>
      </c>
      <c r="F55" s="8">
        <v>65000</v>
      </c>
      <c r="G55" s="10">
        <f t="shared" si="1"/>
        <v>325000</v>
      </c>
      <c r="H55" s="1" t="s">
        <v>60</v>
      </c>
      <c r="I55" s="1" t="s">
        <v>346</v>
      </c>
    </row>
    <row r="56" spans="1:9" x14ac:dyDescent="0.35">
      <c r="A56" s="3">
        <v>45742</v>
      </c>
      <c r="B56" s="1" t="s">
        <v>77</v>
      </c>
      <c r="C56" s="1" t="s">
        <v>356</v>
      </c>
      <c r="D56" s="1" t="s">
        <v>166</v>
      </c>
      <c r="E56" s="1">
        <v>5</v>
      </c>
      <c r="F56" s="8">
        <v>85000</v>
      </c>
      <c r="G56" s="10">
        <f t="shared" si="1"/>
        <v>425000</v>
      </c>
      <c r="H56" s="1" t="s">
        <v>342</v>
      </c>
      <c r="I56" s="1" t="s">
        <v>351</v>
      </c>
    </row>
    <row r="57" spans="1:9" x14ac:dyDescent="0.35">
      <c r="A57" s="3">
        <v>45748</v>
      </c>
      <c r="B57" s="1" t="s">
        <v>47</v>
      </c>
      <c r="C57" s="1" t="s">
        <v>81</v>
      </c>
      <c r="D57" s="1" t="s">
        <v>19</v>
      </c>
      <c r="E57" s="1">
        <v>11</v>
      </c>
      <c r="F57" s="8">
        <v>150000</v>
      </c>
      <c r="G57" s="10">
        <f t="shared" si="1"/>
        <v>1650000</v>
      </c>
      <c r="H57" s="1" t="s">
        <v>311</v>
      </c>
      <c r="I57" s="1" t="s">
        <v>246</v>
      </c>
    </row>
    <row r="58" spans="1:9" x14ac:dyDescent="0.35">
      <c r="A58" s="3">
        <v>45751</v>
      </c>
      <c r="B58" s="1" t="s">
        <v>77</v>
      </c>
      <c r="C58" s="1" t="s">
        <v>81</v>
      </c>
      <c r="D58" s="1" t="s">
        <v>19</v>
      </c>
      <c r="E58" s="1">
        <v>17</v>
      </c>
      <c r="F58" s="8">
        <v>150000</v>
      </c>
      <c r="G58" s="10">
        <f t="shared" si="1"/>
        <v>2550000</v>
      </c>
      <c r="H58" s="1" t="s">
        <v>229</v>
      </c>
      <c r="I58" s="1" t="s">
        <v>16</v>
      </c>
    </row>
    <row r="59" spans="1:9" x14ac:dyDescent="0.35">
      <c r="A59" s="3">
        <v>45752</v>
      </c>
      <c r="B59" s="1" t="s">
        <v>77</v>
      </c>
      <c r="C59" s="1" t="s">
        <v>90</v>
      </c>
      <c r="D59" s="1" t="s">
        <v>91</v>
      </c>
      <c r="E59" s="1">
        <v>13</v>
      </c>
      <c r="F59" s="8">
        <v>250000</v>
      </c>
      <c r="G59" s="10">
        <f t="shared" si="1"/>
        <v>3250000</v>
      </c>
      <c r="H59" s="1" t="s">
        <v>89</v>
      </c>
      <c r="I59" s="1" t="s">
        <v>100</v>
      </c>
    </row>
    <row r="60" spans="1:9" x14ac:dyDescent="0.35">
      <c r="A60" s="3">
        <v>45753</v>
      </c>
      <c r="B60" s="1" t="s">
        <v>77</v>
      </c>
      <c r="C60" s="1" t="s">
        <v>90</v>
      </c>
      <c r="D60" s="1" t="s">
        <v>91</v>
      </c>
      <c r="E60" s="1">
        <v>20</v>
      </c>
      <c r="F60" s="8">
        <v>250000</v>
      </c>
      <c r="G60" s="10">
        <f t="shared" si="1"/>
        <v>5000000</v>
      </c>
      <c r="H60" s="1" t="s">
        <v>342</v>
      </c>
      <c r="I60" s="1" t="s">
        <v>16</v>
      </c>
    </row>
    <row r="61" spans="1:9" x14ac:dyDescent="0.35">
      <c r="A61" s="3">
        <v>45753</v>
      </c>
      <c r="B61" s="1" t="s">
        <v>8</v>
      </c>
      <c r="C61" s="1" t="s">
        <v>354</v>
      </c>
      <c r="D61" s="1" t="s">
        <v>337</v>
      </c>
      <c r="E61" s="1">
        <v>12</v>
      </c>
      <c r="F61" s="8">
        <v>65000</v>
      </c>
      <c r="G61" s="10">
        <f t="shared" si="1"/>
        <v>780000</v>
      </c>
      <c r="H61" s="1" t="s">
        <v>134</v>
      </c>
      <c r="I61" s="1" t="s">
        <v>100</v>
      </c>
    </row>
    <row r="62" spans="1:9" x14ac:dyDescent="0.35">
      <c r="A62" s="3">
        <v>45754</v>
      </c>
      <c r="B62" s="1" t="s">
        <v>8</v>
      </c>
      <c r="C62" s="1" t="s">
        <v>352</v>
      </c>
      <c r="D62" s="1" t="s">
        <v>124</v>
      </c>
      <c r="E62" s="1">
        <v>4</v>
      </c>
      <c r="F62" s="8">
        <v>350000</v>
      </c>
      <c r="G62" s="10">
        <f t="shared" si="1"/>
        <v>1400000</v>
      </c>
      <c r="H62" s="1" t="s">
        <v>342</v>
      </c>
      <c r="I62" s="1" t="s">
        <v>349</v>
      </c>
    </row>
    <row r="63" spans="1:9" x14ac:dyDescent="0.35">
      <c r="A63" s="3">
        <v>45755</v>
      </c>
      <c r="B63" s="1" t="s">
        <v>77</v>
      </c>
      <c r="C63" s="1" t="s">
        <v>352</v>
      </c>
      <c r="D63" s="1" t="s">
        <v>124</v>
      </c>
      <c r="E63" s="1">
        <v>6</v>
      </c>
      <c r="F63" s="8">
        <v>350000</v>
      </c>
      <c r="G63" s="10">
        <f t="shared" si="1"/>
        <v>2100000</v>
      </c>
      <c r="H63" s="1" t="s">
        <v>341</v>
      </c>
      <c r="I63" s="1" t="s">
        <v>16</v>
      </c>
    </row>
    <row r="64" spans="1:9" x14ac:dyDescent="0.35">
      <c r="A64" s="3">
        <v>45755</v>
      </c>
      <c r="B64" s="1" t="s">
        <v>8</v>
      </c>
      <c r="C64" s="1" t="s">
        <v>81</v>
      </c>
      <c r="D64" s="1" t="s">
        <v>19</v>
      </c>
      <c r="E64" s="1">
        <v>5</v>
      </c>
      <c r="F64" s="8">
        <v>150000</v>
      </c>
      <c r="G64" s="10">
        <f t="shared" si="1"/>
        <v>750000</v>
      </c>
      <c r="H64" s="1" t="s">
        <v>89</v>
      </c>
      <c r="I64" s="1" t="s">
        <v>51</v>
      </c>
    </row>
    <row r="65" spans="1:9" x14ac:dyDescent="0.35">
      <c r="A65" s="3">
        <v>45757</v>
      </c>
      <c r="B65" s="1" t="s">
        <v>77</v>
      </c>
      <c r="C65" s="1" t="s">
        <v>355</v>
      </c>
      <c r="D65" s="1" t="s">
        <v>85</v>
      </c>
      <c r="E65" s="1">
        <v>19</v>
      </c>
      <c r="F65" s="8">
        <v>175000</v>
      </c>
      <c r="G65" s="10">
        <f t="shared" si="1"/>
        <v>3325000</v>
      </c>
      <c r="H65" s="1" t="s">
        <v>311</v>
      </c>
      <c r="I65" s="1" t="s">
        <v>346</v>
      </c>
    </row>
    <row r="66" spans="1:9" x14ac:dyDescent="0.35">
      <c r="A66" s="3">
        <v>45761</v>
      </c>
      <c r="B66" s="1" t="s">
        <v>8</v>
      </c>
      <c r="C66" s="1" t="s">
        <v>356</v>
      </c>
      <c r="D66" s="1" t="s">
        <v>166</v>
      </c>
      <c r="E66" s="1">
        <v>2</v>
      </c>
      <c r="F66" s="8">
        <v>85000</v>
      </c>
      <c r="G66" s="10">
        <f t="shared" ref="G66:G97" si="2">PRODUCT(E66,F66)</f>
        <v>170000</v>
      </c>
      <c r="H66" s="1" t="s">
        <v>89</v>
      </c>
      <c r="I66" s="1" t="s">
        <v>346</v>
      </c>
    </row>
    <row r="67" spans="1:9" x14ac:dyDescent="0.35">
      <c r="A67" s="3">
        <v>45762</v>
      </c>
      <c r="B67" s="1" t="s">
        <v>8</v>
      </c>
      <c r="C67" s="1" t="s">
        <v>356</v>
      </c>
      <c r="D67" s="1" t="s">
        <v>166</v>
      </c>
      <c r="E67" s="1">
        <v>2</v>
      </c>
      <c r="F67" s="8">
        <v>85000</v>
      </c>
      <c r="G67" s="10">
        <f t="shared" si="2"/>
        <v>170000</v>
      </c>
      <c r="H67" s="1" t="s">
        <v>341</v>
      </c>
      <c r="I67" s="1" t="s">
        <v>343</v>
      </c>
    </row>
    <row r="68" spans="1:9" x14ac:dyDescent="0.35">
      <c r="A68" s="3">
        <v>45765</v>
      </c>
      <c r="B68" s="1" t="s">
        <v>8</v>
      </c>
      <c r="C68" s="1" t="s">
        <v>81</v>
      </c>
      <c r="D68" s="1" t="s">
        <v>19</v>
      </c>
      <c r="E68" s="1">
        <v>20</v>
      </c>
      <c r="F68" s="8">
        <v>150000</v>
      </c>
      <c r="G68" s="10">
        <f t="shared" si="2"/>
        <v>3000000</v>
      </c>
      <c r="H68" s="1" t="s">
        <v>229</v>
      </c>
      <c r="I68" s="1" t="s">
        <v>16</v>
      </c>
    </row>
    <row r="69" spans="1:9" x14ac:dyDescent="0.35">
      <c r="A69" s="3">
        <v>45776</v>
      </c>
      <c r="B69" s="1" t="s">
        <v>47</v>
      </c>
      <c r="C69" s="1" t="s">
        <v>81</v>
      </c>
      <c r="D69" s="1" t="s">
        <v>19</v>
      </c>
      <c r="E69" s="1">
        <v>1</v>
      </c>
      <c r="F69" s="8">
        <v>150000</v>
      </c>
      <c r="G69" s="10">
        <f t="shared" si="2"/>
        <v>150000</v>
      </c>
      <c r="H69" s="1" t="s">
        <v>60</v>
      </c>
      <c r="I69" s="1" t="s">
        <v>346</v>
      </c>
    </row>
    <row r="70" spans="1:9" x14ac:dyDescent="0.35">
      <c r="A70" s="3">
        <v>45779</v>
      </c>
      <c r="B70" s="1" t="s">
        <v>47</v>
      </c>
      <c r="C70" s="1" t="s">
        <v>81</v>
      </c>
      <c r="D70" s="1" t="s">
        <v>19</v>
      </c>
      <c r="E70" s="1">
        <v>3</v>
      </c>
      <c r="F70" s="8">
        <v>150000</v>
      </c>
      <c r="G70" s="10">
        <f t="shared" si="2"/>
        <v>450000</v>
      </c>
      <c r="H70" s="1" t="s">
        <v>60</v>
      </c>
      <c r="I70" s="1" t="s">
        <v>343</v>
      </c>
    </row>
    <row r="71" spans="1:9" x14ac:dyDescent="0.35">
      <c r="A71" s="3">
        <v>45782</v>
      </c>
      <c r="B71" s="1" t="s">
        <v>57</v>
      </c>
      <c r="C71" s="1" t="s">
        <v>352</v>
      </c>
      <c r="D71" s="1" t="s">
        <v>124</v>
      </c>
      <c r="E71" s="1">
        <v>8</v>
      </c>
      <c r="F71" s="8">
        <v>350000</v>
      </c>
      <c r="G71" s="10">
        <f t="shared" si="2"/>
        <v>2800000</v>
      </c>
      <c r="H71" s="1" t="s">
        <v>341</v>
      </c>
      <c r="I71" s="1" t="s">
        <v>100</v>
      </c>
    </row>
    <row r="72" spans="1:9" x14ac:dyDescent="0.35">
      <c r="A72" s="3">
        <v>45783</v>
      </c>
      <c r="B72" s="1" t="s">
        <v>47</v>
      </c>
      <c r="C72" s="1" t="s">
        <v>352</v>
      </c>
      <c r="D72" s="1" t="s">
        <v>124</v>
      </c>
      <c r="E72" s="1">
        <v>3</v>
      </c>
      <c r="F72" s="8">
        <v>350000</v>
      </c>
      <c r="G72" s="10">
        <f t="shared" si="2"/>
        <v>1050000</v>
      </c>
      <c r="H72" s="1" t="s">
        <v>60</v>
      </c>
      <c r="I72" s="1" t="s">
        <v>246</v>
      </c>
    </row>
    <row r="73" spans="1:9" x14ac:dyDescent="0.35">
      <c r="A73" s="3">
        <v>45784</v>
      </c>
      <c r="B73" s="1" t="s">
        <v>57</v>
      </c>
      <c r="C73" s="1" t="s">
        <v>353</v>
      </c>
      <c r="D73" s="1" t="s">
        <v>19</v>
      </c>
      <c r="E73" s="1">
        <v>10</v>
      </c>
      <c r="F73" s="8">
        <v>180000</v>
      </c>
      <c r="G73" s="10">
        <f t="shared" si="2"/>
        <v>1800000</v>
      </c>
      <c r="H73" s="1" t="s">
        <v>311</v>
      </c>
      <c r="I73" s="1" t="s">
        <v>246</v>
      </c>
    </row>
    <row r="74" spans="1:9" x14ac:dyDescent="0.35">
      <c r="A74" s="3">
        <v>45787</v>
      </c>
      <c r="B74" s="1" t="s">
        <v>57</v>
      </c>
      <c r="C74" s="1" t="s">
        <v>354</v>
      </c>
      <c r="D74" s="1" t="s">
        <v>337</v>
      </c>
      <c r="E74" s="1">
        <v>17</v>
      </c>
      <c r="F74" s="8">
        <v>65000</v>
      </c>
      <c r="G74" s="10">
        <f t="shared" si="2"/>
        <v>1105000</v>
      </c>
      <c r="H74" s="1" t="s">
        <v>89</v>
      </c>
      <c r="I74" s="1" t="s">
        <v>346</v>
      </c>
    </row>
    <row r="75" spans="1:9" x14ac:dyDescent="0.35">
      <c r="A75" s="3">
        <v>45788</v>
      </c>
      <c r="B75" s="1" t="s">
        <v>77</v>
      </c>
      <c r="C75" s="1" t="s">
        <v>355</v>
      </c>
      <c r="D75" s="1" t="s">
        <v>85</v>
      </c>
      <c r="E75" s="1">
        <v>12</v>
      </c>
      <c r="F75" s="8">
        <v>175000</v>
      </c>
      <c r="G75" s="10">
        <f t="shared" si="2"/>
        <v>2100000</v>
      </c>
      <c r="H75" s="1" t="s">
        <v>89</v>
      </c>
      <c r="I75" s="1" t="s">
        <v>61</v>
      </c>
    </row>
    <row r="76" spans="1:9" x14ac:dyDescent="0.35">
      <c r="A76" s="3">
        <v>45789</v>
      </c>
      <c r="B76" s="1" t="s">
        <v>47</v>
      </c>
      <c r="C76" s="1" t="s">
        <v>90</v>
      </c>
      <c r="D76" s="1" t="s">
        <v>91</v>
      </c>
      <c r="E76" s="1">
        <v>19</v>
      </c>
      <c r="F76" s="8">
        <v>250000</v>
      </c>
      <c r="G76" s="10">
        <f t="shared" si="2"/>
        <v>4750000</v>
      </c>
      <c r="H76" s="1" t="s">
        <v>342</v>
      </c>
      <c r="I76" s="1" t="s">
        <v>189</v>
      </c>
    </row>
    <row r="77" spans="1:9" x14ac:dyDescent="0.35">
      <c r="A77" s="3">
        <v>45790</v>
      </c>
      <c r="B77" s="1" t="s">
        <v>47</v>
      </c>
      <c r="C77" s="1" t="s">
        <v>81</v>
      </c>
      <c r="D77" s="1" t="s">
        <v>19</v>
      </c>
      <c r="E77" s="1">
        <v>18</v>
      </c>
      <c r="F77" s="8">
        <v>150000</v>
      </c>
      <c r="G77" s="10">
        <f t="shared" si="2"/>
        <v>2700000</v>
      </c>
      <c r="H77" s="1" t="s">
        <v>342</v>
      </c>
      <c r="I77" s="1" t="s">
        <v>51</v>
      </c>
    </row>
    <row r="78" spans="1:9" x14ac:dyDescent="0.35">
      <c r="A78" s="3">
        <v>45794</v>
      </c>
      <c r="B78" s="1" t="s">
        <v>8</v>
      </c>
      <c r="C78" s="1" t="s">
        <v>354</v>
      </c>
      <c r="D78" s="1" t="s">
        <v>337</v>
      </c>
      <c r="E78" s="1">
        <v>18</v>
      </c>
      <c r="F78" s="8">
        <v>65000</v>
      </c>
      <c r="G78" s="10">
        <f t="shared" si="2"/>
        <v>1170000</v>
      </c>
      <c r="H78" s="1" t="s">
        <v>341</v>
      </c>
      <c r="I78" s="1" t="s">
        <v>496</v>
      </c>
    </row>
    <row r="79" spans="1:9" x14ac:dyDescent="0.35">
      <c r="A79" s="3">
        <v>45796</v>
      </c>
      <c r="B79" s="1" t="s">
        <v>8</v>
      </c>
      <c r="C79" s="1" t="s">
        <v>356</v>
      </c>
      <c r="D79" s="1" t="s">
        <v>166</v>
      </c>
      <c r="E79" s="1">
        <v>13</v>
      </c>
      <c r="F79" s="8">
        <v>85000</v>
      </c>
      <c r="G79" s="10">
        <f t="shared" si="2"/>
        <v>1105000</v>
      </c>
      <c r="H79" s="1" t="s">
        <v>60</v>
      </c>
      <c r="I79" s="1" t="s">
        <v>100</v>
      </c>
    </row>
    <row r="80" spans="1:9" x14ac:dyDescent="0.35">
      <c r="A80" s="3">
        <v>45798</v>
      </c>
      <c r="B80" s="1" t="s">
        <v>77</v>
      </c>
      <c r="C80" s="1" t="s">
        <v>352</v>
      </c>
      <c r="D80" s="1" t="s">
        <v>124</v>
      </c>
      <c r="E80" s="1">
        <v>14</v>
      </c>
      <c r="F80" s="8">
        <v>350000</v>
      </c>
      <c r="G80" s="10">
        <f t="shared" si="2"/>
        <v>4900000</v>
      </c>
      <c r="H80" s="1" t="s">
        <v>342</v>
      </c>
      <c r="I80" s="1" t="s">
        <v>16</v>
      </c>
    </row>
    <row r="81" spans="1:9" x14ac:dyDescent="0.35">
      <c r="A81" s="3">
        <v>45802</v>
      </c>
      <c r="B81" s="1" t="s">
        <v>47</v>
      </c>
      <c r="C81" s="1" t="s">
        <v>355</v>
      </c>
      <c r="D81" s="1" t="s">
        <v>85</v>
      </c>
      <c r="E81" s="1">
        <v>3</v>
      </c>
      <c r="F81" s="8">
        <v>175000</v>
      </c>
      <c r="G81" s="10">
        <f t="shared" si="2"/>
        <v>525000</v>
      </c>
      <c r="H81" s="1" t="s">
        <v>342</v>
      </c>
      <c r="I81" s="1" t="s">
        <v>189</v>
      </c>
    </row>
    <row r="82" spans="1:9" x14ac:dyDescent="0.35">
      <c r="A82" s="3">
        <v>45802</v>
      </c>
      <c r="B82" s="1" t="s">
        <v>77</v>
      </c>
      <c r="C82" s="1" t="s">
        <v>81</v>
      </c>
      <c r="D82" s="1" t="s">
        <v>19</v>
      </c>
      <c r="E82" s="1">
        <v>1</v>
      </c>
      <c r="F82" s="8">
        <v>150000</v>
      </c>
      <c r="G82" s="10">
        <f t="shared" si="2"/>
        <v>150000</v>
      </c>
      <c r="H82" s="1" t="s">
        <v>342</v>
      </c>
      <c r="I82" s="1" t="s">
        <v>16</v>
      </c>
    </row>
    <row r="83" spans="1:9" x14ac:dyDescent="0.35">
      <c r="A83" s="3">
        <v>45803</v>
      </c>
      <c r="B83" s="1" t="s">
        <v>77</v>
      </c>
      <c r="C83" s="1" t="s">
        <v>353</v>
      </c>
      <c r="D83" s="1" t="s">
        <v>19</v>
      </c>
      <c r="E83" s="1">
        <v>19</v>
      </c>
      <c r="F83" s="8">
        <v>157427</v>
      </c>
      <c r="G83" s="10">
        <f t="shared" si="2"/>
        <v>2991113</v>
      </c>
      <c r="H83" s="1" t="s">
        <v>341</v>
      </c>
      <c r="I83" s="1" t="s">
        <v>16</v>
      </c>
    </row>
    <row r="84" spans="1:9" x14ac:dyDescent="0.35">
      <c r="A84" s="3">
        <v>45804</v>
      </c>
      <c r="B84" s="1" t="s">
        <v>77</v>
      </c>
      <c r="C84" s="1" t="s">
        <v>353</v>
      </c>
      <c r="D84" s="1" t="s">
        <v>19</v>
      </c>
      <c r="E84" s="1">
        <v>4</v>
      </c>
      <c r="F84" s="8">
        <v>180000</v>
      </c>
      <c r="G84" s="10">
        <f t="shared" si="2"/>
        <v>720000</v>
      </c>
      <c r="H84" s="1" t="s">
        <v>60</v>
      </c>
      <c r="I84" s="1" t="s">
        <v>16</v>
      </c>
    </row>
    <row r="85" spans="1:9" x14ac:dyDescent="0.35">
      <c r="A85" s="3">
        <v>45805</v>
      </c>
      <c r="B85" s="1" t="s">
        <v>57</v>
      </c>
      <c r="C85" s="1" t="s">
        <v>81</v>
      </c>
      <c r="D85" s="1" t="s">
        <v>19</v>
      </c>
      <c r="E85" s="1">
        <v>8</v>
      </c>
      <c r="F85" s="8">
        <v>150000</v>
      </c>
      <c r="G85" s="10">
        <f t="shared" si="2"/>
        <v>1200000</v>
      </c>
      <c r="H85" s="1" t="s">
        <v>341</v>
      </c>
      <c r="I85" s="1" t="s">
        <v>61</v>
      </c>
    </row>
    <row r="86" spans="1:9" x14ac:dyDescent="0.35">
      <c r="A86" s="3">
        <v>45806</v>
      </c>
      <c r="B86" s="1" t="s">
        <v>77</v>
      </c>
      <c r="C86" s="1" t="s">
        <v>353</v>
      </c>
      <c r="D86" s="1" t="s">
        <v>19</v>
      </c>
      <c r="E86" s="1">
        <v>13</v>
      </c>
      <c r="F86" s="8">
        <v>180000</v>
      </c>
      <c r="G86" s="10">
        <f t="shared" si="2"/>
        <v>2340000</v>
      </c>
      <c r="H86" s="1" t="s">
        <v>342</v>
      </c>
      <c r="I86" s="1" t="s">
        <v>495</v>
      </c>
    </row>
    <row r="87" spans="1:9" x14ac:dyDescent="0.35">
      <c r="A87" s="3">
        <v>45809</v>
      </c>
      <c r="B87" s="1" t="s">
        <v>77</v>
      </c>
      <c r="C87" s="1" t="s">
        <v>356</v>
      </c>
      <c r="D87" s="1" t="s">
        <v>166</v>
      </c>
      <c r="E87" s="1">
        <v>7</v>
      </c>
      <c r="F87" s="8">
        <v>85000</v>
      </c>
      <c r="G87" s="10">
        <f t="shared" si="2"/>
        <v>595000</v>
      </c>
      <c r="H87" s="1" t="s">
        <v>60</v>
      </c>
      <c r="I87" s="1" t="s">
        <v>343</v>
      </c>
    </row>
    <row r="88" spans="1:9" x14ac:dyDescent="0.35">
      <c r="A88" s="3">
        <v>45810</v>
      </c>
      <c r="B88" s="1" t="s">
        <v>57</v>
      </c>
      <c r="C88" s="1" t="s">
        <v>81</v>
      </c>
      <c r="D88" s="1" t="s">
        <v>19</v>
      </c>
      <c r="E88" s="1">
        <v>16</v>
      </c>
      <c r="F88" s="8">
        <v>150000</v>
      </c>
      <c r="G88" s="10">
        <f t="shared" si="2"/>
        <v>2400000</v>
      </c>
      <c r="H88" s="1" t="s">
        <v>341</v>
      </c>
      <c r="I88" s="1" t="s">
        <v>246</v>
      </c>
    </row>
    <row r="89" spans="1:9" x14ac:dyDescent="0.35">
      <c r="A89" s="3">
        <v>45811</v>
      </c>
      <c r="B89" s="1" t="s">
        <v>57</v>
      </c>
      <c r="C89" s="1" t="s">
        <v>81</v>
      </c>
      <c r="D89" s="1" t="s">
        <v>19</v>
      </c>
      <c r="E89" s="1">
        <v>1</v>
      </c>
      <c r="F89" s="8">
        <v>150000</v>
      </c>
      <c r="G89" s="10">
        <f t="shared" si="2"/>
        <v>150000</v>
      </c>
      <c r="H89" s="1" t="s">
        <v>342</v>
      </c>
      <c r="I89" s="1" t="s">
        <v>351</v>
      </c>
    </row>
    <row r="90" spans="1:9" x14ac:dyDescent="0.35">
      <c r="A90" s="3">
        <v>45815</v>
      </c>
      <c r="B90" s="1" t="s">
        <v>8</v>
      </c>
      <c r="C90" s="1" t="s">
        <v>352</v>
      </c>
      <c r="D90" s="1" t="s">
        <v>124</v>
      </c>
      <c r="E90" s="1">
        <v>20</v>
      </c>
      <c r="F90" s="8">
        <v>350000</v>
      </c>
      <c r="G90" s="10">
        <f t="shared" si="2"/>
        <v>7000000</v>
      </c>
      <c r="H90" s="1" t="s">
        <v>134</v>
      </c>
      <c r="I90" s="1" t="s">
        <v>189</v>
      </c>
    </row>
    <row r="91" spans="1:9" x14ac:dyDescent="0.35">
      <c r="A91" s="3">
        <v>45820</v>
      </c>
      <c r="B91" s="1" t="s">
        <v>77</v>
      </c>
      <c r="C91" s="1" t="s">
        <v>354</v>
      </c>
      <c r="D91" s="1" t="s">
        <v>337</v>
      </c>
      <c r="E91" s="1">
        <v>11</v>
      </c>
      <c r="F91" s="8">
        <v>62035</v>
      </c>
      <c r="G91" s="10">
        <f t="shared" si="2"/>
        <v>682385</v>
      </c>
      <c r="H91" s="1" t="s">
        <v>89</v>
      </c>
      <c r="I91" s="1" t="s">
        <v>348</v>
      </c>
    </row>
    <row r="92" spans="1:9" x14ac:dyDescent="0.35">
      <c r="A92" s="3">
        <v>45821</v>
      </c>
      <c r="B92" s="1" t="s">
        <v>8</v>
      </c>
      <c r="C92" s="1" t="s">
        <v>90</v>
      </c>
      <c r="D92" s="1" t="s">
        <v>91</v>
      </c>
      <c r="E92" s="1">
        <v>8</v>
      </c>
      <c r="F92" s="8">
        <v>2500000</v>
      </c>
      <c r="G92" s="10">
        <f t="shared" si="2"/>
        <v>20000000</v>
      </c>
      <c r="H92" s="1" t="s">
        <v>134</v>
      </c>
      <c r="I92" s="1" t="s">
        <v>343</v>
      </c>
    </row>
    <row r="93" spans="1:9" x14ac:dyDescent="0.35">
      <c r="A93" s="3">
        <v>45823</v>
      </c>
      <c r="B93" s="1" t="s">
        <v>8</v>
      </c>
      <c r="C93" s="1" t="s">
        <v>90</v>
      </c>
      <c r="D93" s="1" t="s">
        <v>91</v>
      </c>
      <c r="E93" s="1">
        <v>3</v>
      </c>
      <c r="F93" s="8">
        <v>250000</v>
      </c>
      <c r="G93" s="10">
        <f t="shared" si="2"/>
        <v>750000</v>
      </c>
      <c r="H93" s="1" t="s">
        <v>311</v>
      </c>
      <c r="I93" s="1" t="s">
        <v>246</v>
      </c>
    </row>
    <row r="94" spans="1:9" x14ac:dyDescent="0.35">
      <c r="A94" s="3">
        <v>45825</v>
      </c>
      <c r="B94" s="1" t="s">
        <v>47</v>
      </c>
      <c r="C94" s="1" t="s">
        <v>352</v>
      </c>
      <c r="D94" s="1" t="s">
        <v>124</v>
      </c>
      <c r="E94" s="1">
        <v>14</v>
      </c>
      <c r="F94" s="8">
        <v>350000</v>
      </c>
      <c r="G94" s="10">
        <f t="shared" si="2"/>
        <v>4900000</v>
      </c>
      <c r="H94" s="1" t="s">
        <v>89</v>
      </c>
      <c r="I94" s="1" t="s">
        <v>350</v>
      </c>
    </row>
    <row r="95" spans="1:9" x14ac:dyDescent="0.35">
      <c r="A95" s="3">
        <v>45825</v>
      </c>
      <c r="B95" s="1" t="s">
        <v>8</v>
      </c>
      <c r="C95" s="1" t="s">
        <v>352</v>
      </c>
      <c r="D95" s="1" t="s">
        <v>124</v>
      </c>
      <c r="E95" s="1">
        <v>17</v>
      </c>
      <c r="F95" s="8">
        <v>3500</v>
      </c>
      <c r="G95" s="10">
        <f t="shared" si="2"/>
        <v>59500</v>
      </c>
      <c r="H95" s="1" t="s">
        <v>89</v>
      </c>
      <c r="I95" s="1" t="s">
        <v>61</v>
      </c>
    </row>
    <row r="96" spans="1:9" x14ac:dyDescent="0.35">
      <c r="A96" s="3">
        <v>45825</v>
      </c>
      <c r="B96" s="1" t="s">
        <v>77</v>
      </c>
      <c r="C96" s="1" t="s">
        <v>356</v>
      </c>
      <c r="D96" s="1" t="s">
        <v>166</v>
      </c>
      <c r="E96" s="1">
        <v>6</v>
      </c>
      <c r="F96" s="8">
        <v>85000</v>
      </c>
      <c r="G96" s="10">
        <f t="shared" si="2"/>
        <v>510000</v>
      </c>
      <c r="H96" s="1" t="s">
        <v>229</v>
      </c>
      <c r="I96" s="1" t="s">
        <v>347</v>
      </c>
    </row>
    <row r="97" spans="1:9" x14ac:dyDescent="0.35">
      <c r="A97" s="3">
        <v>45834</v>
      </c>
      <c r="B97" s="1" t="s">
        <v>77</v>
      </c>
      <c r="C97" s="1" t="s">
        <v>355</v>
      </c>
      <c r="D97" s="1" t="s">
        <v>85</v>
      </c>
      <c r="E97" s="1">
        <v>20</v>
      </c>
      <c r="F97" s="8">
        <v>175000</v>
      </c>
      <c r="G97" s="10">
        <f t="shared" si="2"/>
        <v>3500000</v>
      </c>
      <c r="H97" s="1" t="s">
        <v>311</v>
      </c>
      <c r="I97" s="1" t="s">
        <v>343</v>
      </c>
    </row>
    <row r="98" spans="1:9" x14ac:dyDescent="0.35">
      <c r="A98" s="3">
        <v>45835</v>
      </c>
      <c r="B98" s="1" t="s">
        <v>57</v>
      </c>
      <c r="C98" s="1" t="s">
        <v>355</v>
      </c>
      <c r="D98" s="1" t="s">
        <v>85</v>
      </c>
      <c r="E98" s="1">
        <v>17</v>
      </c>
      <c r="F98" s="8">
        <v>175000</v>
      </c>
      <c r="G98" s="10">
        <f t="shared" ref="G98:G101" si="3">PRODUCT(E98,F98)</f>
        <v>2975000</v>
      </c>
      <c r="H98" s="1" t="s">
        <v>341</v>
      </c>
      <c r="I98" s="1" t="s">
        <v>347</v>
      </c>
    </row>
    <row r="99" spans="1:9" x14ac:dyDescent="0.35">
      <c r="A99" s="3">
        <v>45836</v>
      </c>
      <c r="B99" s="1" t="s">
        <v>47</v>
      </c>
      <c r="C99" s="1" t="s">
        <v>81</v>
      </c>
      <c r="D99" s="1" t="s">
        <v>19</v>
      </c>
      <c r="E99" s="1">
        <v>4</v>
      </c>
      <c r="F99" s="8">
        <v>150000</v>
      </c>
      <c r="G99" s="10">
        <f t="shared" si="3"/>
        <v>600000</v>
      </c>
      <c r="H99" s="1" t="s">
        <v>134</v>
      </c>
      <c r="I99" s="1" t="s">
        <v>51</v>
      </c>
    </row>
    <row r="100" spans="1:9" x14ac:dyDescent="0.35">
      <c r="A100" s="3">
        <v>45837</v>
      </c>
      <c r="B100" s="1" t="s">
        <v>57</v>
      </c>
      <c r="C100" s="1" t="s">
        <v>355</v>
      </c>
      <c r="D100" s="1" t="s">
        <v>85</v>
      </c>
      <c r="E100" s="1">
        <v>8</v>
      </c>
      <c r="F100" s="8">
        <v>175000</v>
      </c>
      <c r="G100" s="10">
        <f t="shared" si="3"/>
        <v>1400000</v>
      </c>
      <c r="H100" s="1" t="s">
        <v>134</v>
      </c>
      <c r="I100" s="1" t="s">
        <v>51</v>
      </c>
    </row>
    <row r="101" spans="1:9" x14ac:dyDescent="0.35">
      <c r="A101" s="3">
        <v>45838</v>
      </c>
      <c r="B101" s="1" t="s">
        <v>77</v>
      </c>
      <c r="C101" s="1" t="s">
        <v>354</v>
      </c>
      <c r="D101" s="1" t="s">
        <v>337</v>
      </c>
      <c r="E101" s="1">
        <v>10</v>
      </c>
      <c r="F101" s="8">
        <v>65000</v>
      </c>
      <c r="G101" s="10">
        <f t="shared" si="3"/>
        <v>650000</v>
      </c>
      <c r="H101" s="1" t="s">
        <v>335</v>
      </c>
      <c r="I101" s="1" t="s">
        <v>16</v>
      </c>
    </row>
    <row r="103" spans="1:9" x14ac:dyDescent="0.35">
      <c r="G103" s="11"/>
    </row>
  </sheetData>
  <sortState xmlns:xlrd2="http://schemas.microsoft.com/office/spreadsheetml/2017/richdata2" ref="A2:I101">
    <sortCondition ref="A2:A101" customList="Jan,Feb,Mar,Apr,May,Jun,Jul,Aug,Sep,Oct,Nov,Dec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1712-5BAE-42B2-8920-94602535ECC4}">
  <dimension ref="A1:L101"/>
  <sheetViews>
    <sheetView workbookViewId="0">
      <selection activeCell="K99" sqref="K99"/>
    </sheetView>
  </sheetViews>
  <sheetFormatPr defaultRowHeight="14.5" x14ac:dyDescent="0.35"/>
  <cols>
    <col min="1" max="1" width="9.7265625" bestFit="1" customWidth="1"/>
    <col min="2" max="2" width="8.453125" customWidth="1"/>
    <col min="3" max="3" width="11.81640625" bestFit="1" customWidth="1"/>
    <col min="4" max="4" width="11.453125" bestFit="1" customWidth="1"/>
    <col min="5" max="5" width="11.1796875" customWidth="1"/>
    <col min="6" max="6" width="12.1796875" customWidth="1"/>
    <col min="7" max="7" width="12.90625" customWidth="1"/>
    <col min="8" max="8" width="14" bestFit="1" customWidth="1"/>
    <col min="9" max="9" width="16" bestFit="1" customWidth="1"/>
    <col min="11" max="11" width="13.7265625" bestFit="1" customWidth="1"/>
    <col min="12" max="12" width="13.81640625" bestFit="1" customWidth="1"/>
  </cols>
  <sheetData>
    <row r="1" spans="1:12" x14ac:dyDescent="0.35">
      <c r="A1" s="16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358</v>
      </c>
      <c r="H1" s="12" t="s">
        <v>6</v>
      </c>
      <c r="I1" s="17" t="s">
        <v>7</v>
      </c>
    </row>
    <row r="2" spans="1:12" x14ac:dyDescent="0.35">
      <c r="A2" s="14">
        <v>45661</v>
      </c>
      <c r="B2" s="1" t="s">
        <v>47</v>
      </c>
      <c r="C2" s="1" t="s">
        <v>352</v>
      </c>
      <c r="D2" s="1" t="s">
        <v>124</v>
      </c>
      <c r="E2" s="1">
        <v>19</v>
      </c>
      <c r="F2" s="8">
        <v>350000</v>
      </c>
      <c r="G2" s="10">
        <f t="shared" ref="G2:G65" si="0">PRODUCT(E2,F2)</f>
        <v>6650000</v>
      </c>
      <c r="H2" s="1" t="s">
        <v>341</v>
      </c>
      <c r="I2" s="15" t="s">
        <v>349</v>
      </c>
      <c r="K2" s="7" t="s">
        <v>359</v>
      </c>
      <c r="L2" s="11">
        <f>SUM(G2:G101)</f>
        <v>302680445</v>
      </c>
    </row>
    <row r="3" spans="1:12" x14ac:dyDescent="0.35">
      <c r="A3" s="14">
        <v>45663</v>
      </c>
      <c r="B3" s="1" t="s">
        <v>8</v>
      </c>
      <c r="C3" s="1" t="s">
        <v>81</v>
      </c>
      <c r="D3" s="1" t="s">
        <v>19</v>
      </c>
      <c r="E3" s="1">
        <v>20</v>
      </c>
      <c r="F3" s="8">
        <v>150000</v>
      </c>
      <c r="G3" s="10">
        <f t="shared" si="0"/>
        <v>3000000</v>
      </c>
      <c r="H3" s="1" t="s">
        <v>60</v>
      </c>
      <c r="I3" s="15" t="s">
        <v>347</v>
      </c>
    </row>
    <row r="4" spans="1:12" x14ac:dyDescent="0.35">
      <c r="A4" s="14">
        <v>45663</v>
      </c>
      <c r="B4" s="1" t="s">
        <v>57</v>
      </c>
      <c r="C4" s="1" t="s">
        <v>90</v>
      </c>
      <c r="D4" s="1" t="s">
        <v>91</v>
      </c>
      <c r="E4" s="1">
        <v>13</v>
      </c>
      <c r="F4" s="8">
        <v>250000</v>
      </c>
      <c r="G4" s="10">
        <f t="shared" si="0"/>
        <v>3250000</v>
      </c>
      <c r="H4" s="1" t="s">
        <v>342</v>
      </c>
      <c r="I4" s="15" t="s">
        <v>246</v>
      </c>
    </row>
    <row r="5" spans="1:12" x14ac:dyDescent="0.35">
      <c r="A5" s="14">
        <v>45666</v>
      </c>
      <c r="B5" s="1" t="s">
        <v>77</v>
      </c>
      <c r="C5" s="1" t="s">
        <v>81</v>
      </c>
      <c r="D5" s="1" t="s">
        <v>19</v>
      </c>
      <c r="E5" s="1">
        <v>12</v>
      </c>
      <c r="F5" s="8">
        <v>150000</v>
      </c>
      <c r="G5" s="10">
        <f t="shared" si="0"/>
        <v>1800000</v>
      </c>
      <c r="H5" s="1" t="s">
        <v>229</v>
      </c>
      <c r="I5" s="15" t="s">
        <v>51</v>
      </c>
    </row>
    <row r="6" spans="1:12" x14ac:dyDescent="0.35">
      <c r="A6" s="14">
        <v>45668</v>
      </c>
      <c r="B6" s="1" t="s">
        <v>47</v>
      </c>
      <c r="C6" s="1" t="s">
        <v>354</v>
      </c>
      <c r="D6" s="1" t="s">
        <v>337</v>
      </c>
      <c r="E6" s="1">
        <v>11</v>
      </c>
      <c r="F6" s="8">
        <v>65000</v>
      </c>
      <c r="G6" s="10">
        <f t="shared" si="0"/>
        <v>715000</v>
      </c>
      <c r="H6" s="1" t="s">
        <v>89</v>
      </c>
      <c r="I6" s="15" t="s">
        <v>348</v>
      </c>
    </row>
    <row r="7" spans="1:12" x14ac:dyDescent="0.35">
      <c r="A7" s="14">
        <v>45669</v>
      </c>
      <c r="B7" s="1" t="s">
        <v>57</v>
      </c>
      <c r="C7" s="1" t="s">
        <v>352</v>
      </c>
      <c r="D7" s="1" t="s">
        <v>124</v>
      </c>
      <c r="E7" s="1">
        <v>17</v>
      </c>
      <c r="F7" s="8">
        <v>350000</v>
      </c>
      <c r="G7" s="10">
        <f t="shared" si="0"/>
        <v>5950000</v>
      </c>
      <c r="H7" s="1" t="s">
        <v>311</v>
      </c>
      <c r="I7" s="15" t="s">
        <v>347</v>
      </c>
    </row>
    <row r="8" spans="1:12" x14ac:dyDescent="0.35">
      <c r="A8" s="14">
        <v>45670</v>
      </c>
      <c r="B8" s="1" t="s">
        <v>8</v>
      </c>
      <c r="C8" s="1" t="s">
        <v>353</v>
      </c>
      <c r="D8" s="1" t="s">
        <v>19</v>
      </c>
      <c r="E8" s="1">
        <v>8</v>
      </c>
      <c r="F8" s="8">
        <v>180000</v>
      </c>
      <c r="G8" s="10">
        <f t="shared" si="0"/>
        <v>1440000</v>
      </c>
      <c r="H8" s="1" t="s">
        <v>60</v>
      </c>
      <c r="I8" s="15" t="s">
        <v>61</v>
      </c>
    </row>
    <row r="9" spans="1:12" x14ac:dyDescent="0.35">
      <c r="A9" s="14">
        <v>45670</v>
      </c>
      <c r="B9" s="1" t="s">
        <v>47</v>
      </c>
      <c r="C9" s="1" t="s">
        <v>352</v>
      </c>
      <c r="D9" s="1" t="s">
        <v>124</v>
      </c>
      <c r="E9" s="1">
        <v>15</v>
      </c>
      <c r="F9" s="8">
        <v>350000</v>
      </c>
      <c r="G9" s="10">
        <f t="shared" si="0"/>
        <v>5250000</v>
      </c>
      <c r="H9" s="1" t="s">
        <v>89</v>
      </c>
      <c r="I9" s="15" t="s">
        <v>348</v>
      </c>
    </row>
    <row r="10" spans="1:12" x14ac:dyDescent="0.35">
      <c r="A10" s="14">
        <v>45671</v>
      </c>
      <c r="B10" s="1" t="s">
        <v>47</v>
      </c>
      <c r="C10" s="1" t="s">
        <v>354</v>
      </c>
      <c r="D10" s="1" t="s">
        <v>337</v>
      </c>
      <c r="E10" s="1">
        <v>13</v>
      </c>
      <c r="F10" s="8">
        <v>57912</v>
      </c>
      <c r="G10" s="10">
        <f t="shared" si="0"/>
        <v>752856</v>
      </c>
      <c r="H10" s="1" t="s">
        <v>229</v>
      </c>
      <c r="I10" s="15" t="s">
        <v>189</v>
      </c>
    </row>
    <row r="11" spans="1:12" x14ac:dyDescent="0.35">
      <c r="A11" s="14">
        <v>45671</v>
      </c>
      <c r="B11" s="1" t="s">
        <v>77</v>
      </c>
      <c r="C11" s="1" t="s">
        <v>90</v>
      </c>
      <c r="D11" s="1" t="s">
        <v>91</v>
      </c>
      <c r="E11" s="1">
        <v>14</v>
      </c>
      <c r="F11" s="8">
        <v>250000</v>
      </c>
      <c r="G11" s="10">
        <f t="shared" si="0"/>
        <v>3500000</v>
      </c>
      <c r="H11" s="1" t="s">
        <v>89</v>
      </c>
      <c r="I11" s="15" t="s">
        <v>246</v>
      </c>
    </row>
    <row r="12" spans="1:12" x14ac:dyDescent="0.35">
      <c r="A12" s="14">
        <v>45671</v>
      </c>
      <c r="B12" s="1" t="s">
        <v>47</v>
      </c>
      <c r="C12" s="1" t="s">
        <v>354</v>
      </c>
      <c r="D12" s="1" t="s">
        <v>337</v>
      </c>
      <c r="E12" s="1">
        <v>18</v>
      </c>
      <c r="F12" s="8">
        <v>65000</v>
      </c>
      <c r="G12" s="10">
        <f t="shared" si="0"/>
        <v>1170000</v>
      </c>
      <c r="H12" s="1" t="s">
        <v>89</v>
      </c>
      <c r="I12" s="15" t="s">
        <v>189</v>
      </c>
    </row>
    <row r="13" spans="1:12" x14ac:dyDescent="0.35">
      <c r="A13" s="14">
        <v>45673</v>
      </c>
      <c r="B13" s="1" t="s">
        <v>57</v>
      </c>
      <c r="C13" s="1" t="s">
        <v>356</v>
      </c>
      <c r="D13" s="1" t="s">
        <v>166</v>
      </c>
      <c r="E13" s="1">
        <v>11</v>
      </c>
      <c r="F13" s="8">
        <v>85000</v>
      </c>
      <c r="G13" s="10">
        <f t="shared" si="0"/>
        <v>935000</v>
      </c>
      <c r="H13" s="1" t="s">
        <v>342</v>
      </c>
      <c r="I13" s="15" t="s">
        <v>189</v>
      </c>
    </row>
    <row r="14" spans="1:12" x14ac:dyDescent="0.35">
      <c r="A14" s="14">
        <v>45673</v>
      </c>
      <c r="B14" s="1" t="s">
        <v>77</v>
      </c>
      <c r="C14" s="1" t="s">
        <v>356</v>
      </c>
      <c r="D14" s="1" t="s">
        <v>166</v>
      </c>
      <c r="E14" s="1">
        <v>10</v>
      </c>
      <c r="F14" s="8">
        <v>85000</v>
      </c>
      <c r="G14" s="10">
        <f t="shared" si="0"/>
        <v>850000</v>
      </c>
      <c r="H14" s="1" t="s">
        <v>60</v>
      </c>
      <c r="I14" s="15" t="s">
        <v>346</v>
      </c>
    </row>
    <row r="15" spans="1:12" x14ac:dyDescent="0.35">
      <c r="A15" s="14">
        <v>45680</v>
      </c>
      <c r="B15" s="1" t="s">
        <v>77</v>
      </c>
      <c r="C15" s="1" t="s">
        <v>81</v>
      </c>
      <c r="D15" s="1" t="s">
        <v>19</v>
      </c>
      <c r="E15" s="1">
        <v>10</v>
      </c>
      <c r="F15" s="8">
        <v>150000</v>
      </c>
      <c r="G15" s="10">
        <f t="shared" si="0"/>
        <v>1500000</v>
      </c>
      <c r="H15" s="1" t="s">
        <v>89</v>
      </c>
      <c r="I15" s="15" t="s">
        <v>100</v>
      </c>
    </row>
    <row r="16" spans="1:12" x14ac:dyDescent="0.35">
      <c r="A16" s="14">
        <v>45680</v>
      </c>
      <c r="B16" s="1" t="s">
        <v>57</v>
      </c>
      <c r="C16" s="1" t="s">
        <v>352</v>
      </c>
      <c r="D16" s="1" t="s">
        <v>124</v>
      </c>
      <c r="E16" s="1">
        <v>13</v>
      </c>
      <c r="F16" s="8">
        <v>350000</v>
      </c>
      <c r="G16" s="10">
        <f t="shared" si="0"/>
        <v>4550000</v>
      </c>
      <c r="H16" s="1" t="s">
        <v>229</v>
      </c>
      <c r="I16" s="15" t="s">
        <v>347</v>
      </c>
    </row>
    <row r="17" spans="1:9" x14ac:dyDescent="0.35">
      <c r="A17" s="14">
        <v>45684</v>
      </c>
      <c r="B17" s="1" t="s">
        <v>8</v>
      </c>
      <c r="C17" s="1" t="s">
        <v>352</v>
      </c>
      <c r="D17" s="1" t="s">
        <v>124</v>
      </c>
      <c r="E17" s="1">
        <v>13</v>
      </c>
      <c r="F17" s="8">
        <v>350000</v>
      </c>
      <c r="G17" s="10">
        <f t="shared" si="0"/>
        <v>4550000</v>
      </c>
      <c r="H17" s="1" t="s">
        <v>89</v>
      </c>
      <c r="I17" s="15" t="s">
        <v>189</v>
      </c>
    </row>
    <row r="18" spans="1:9" x14ac:dyDescent="0.35">
      <c r="A18" s="14">
        <v>45685</v>
      </c>
      <c r="B18" s="1" t="s">
        <v>47</v>
      </c>
      <c r="C18" s="1" t="s">
        <v>353</v>
      </c>
      <c r="D18" s="1" t="s">
        <v>19</v>
      </c>
      <c r="E18" s="1">
        <v>5</v>
      </c>
      <c r="F18" s="8">
        <v>180000</v>
      </c>
      <c r="G18" s="10">
        <f t="shared" si="0"/>
        <v>900000</v>
      </c>
      <c r="H18" s="1" t="s">
        <v>134</v>
      </c>
      <c r="I18" s="15" t="s">
        <v>246</v>
      </c>
    </row>
    <row r="19" spans="1:9" x14ac:dyDescent="0.35">
      <c r="A19" s="14">
        <v>45686</v>
      </c>
      <c r="B19" s="1" t="s">
        <v>57</v>
      </c>
      <c r="C19" s="1" t="s">
        <v>353</v>
      </c>
      <c r="D19" s="1" t="s">
        <v>19</v>
      </c>
      <c r="E19" s="1">
        <v>14</v>
      </c>
      <c r="F19" s="8">
        <v>180000</v>
      </c>
      <c r="G19" s="10">
        <f t="shared" si="0"/>
        <v>2520000</v>
      </c>
      <c r="H19" s="1" t="s">
        <v>229</v>
      </c>
      <c r="I19" s="15" t="s">
        <v>344</v>
      </c>
    </row>
    <row r="20" spans="1:9" x14ac:dyDescent="0.35">
      <c r="A20" s="14">
        <v>45687</v>
      </c>
      <c r="B20" s="1" t="s">
        <v>77</v>
      </c>
      <c r="C20" s="1" t="s">
        <v>354</v>
      </c>
      <c r="D20" s="1" t="s">
        <v>337</v>
      </c>
      <c r="E20" s="1">
        <v>18</v>
      </c>
      <c r="F20" s="8">
        <v>65000</v>
      </c>
      <c r="G20" s="10">
        <f t="shared" si="0"/>
        <v>1170000</v>
      </c>
      <c r="H20" s="1" t="s">
        <v>89</v>
      </c>
      <c r="I20" s="15" t="s">
        <v>350</v>
      </c>
    </row>
    <row r="21" spans="1:9" x14ac:dyDescent="0.35">
      <c r="A21" s="14">
        <v>45688</v>
      </c>
      <c r="B21" s="1" t="s">
        <v>77</v>
      </c>
      <c r="C21" s="1" t="s">
        <v>355</v>
      </c>
      <c r="D21" s="1" t="s">
        <v>85</v>
      </c>
      <c r="E21" s="1">
        <v>10</v>
      </c>
      <c r="F21" s="8">
        <v>175000</v>
      </c>
      <c r="G21" s="10">
        <f t="shared" si="0"/>
        <v>1750000</v>
      </c>
      <c r="H21" s="1" t="s">
        <v>229</v>
      </c>
      <c r="I21" s="15" t="s">
        <v>61</v>
      </c>
    </row>
    <row r="22" spans="1:9" x14ac:dyDescent="0.35">
      <c r="A22" s="14">
        <v>45688</v>
      </c>
      <c r="B22" s="1" t="s">
        <v>57</v>
      </c>
      <c r="C22" s="1" t="s">
        <v>90</v>
      </c>
      <c r="D22" s="1" t="s">
        <v>91</v>
      </c>
      <c r="E22" s="1">
        <v>20</v>
      </c>
      <c r="F22" s="8">
        <v>250000</v>
      </c>
      <c r="G22" s="10">
        <f t="shared" si="0"/>
        <v>5000000</v>
      </c>
      <c r="H22" s="1" t="s">
        <v>60</v>
      </c>
      <c r="I22" s="15" t="s">
        <v>61</v>
      </c>
    </row>
    <row r="23" spans="1:9" x14ac:dyDescent="0.35">
      <c r="A23" s="14">
        <v>45689</v>
      </c>
      <c r="B23" s="1" t="s">
        <v>77</v>
      </c>
      <c r="C23" s="1" t="s">
        <v>355</v>
      </c>
      <c r="D23" s="1" t="s">
        <v>85</v>
      </c>
      <c r="E23" s="1">
        <v>14</v>
      </c>
      <c r="F23" s="8">
        <v>175000</v>
      </c>
      <c r="G23" s="10">
        <f t="shared" si="0"/>
        <v>2450000</v>
      </c>
      <c r="H23" s="1" t="s">
        <v>229</v>
      </c>
      <c r="I23" s="15" t="s">
        <v>343</v>
      </c>
    </row>
    <row r="24" spans="1:9" x14ac:dyDescent="0.35">
      <c r="A24" s="14">
        <v>45689</v>
      </c>
      <c r="B24" s="1" t="s">
        <v>8</v>
      </c>
      <c r="C24" s="1" t="s">
        <v>352</v>
      </c>
      <c r="D24" s="1" t="s">
        <v>124</v>
      </c>
      <c r="E24" s="1">
        <v>15</v>
      </c>
      <c r="F24" s="8">
        <v>350000</v>
      </c>
      <c r="G24" s="10">
        <f t="shared" si="0"/>
        <v>5250000</v>
      </c>
      <c r="H24" s="1" t="s">
        <v>336</v>
      </c>
      <c r="I24" s="15" t="s">
        <v>344</v>
      </c>
    </row>
    <row r="25" spans="1:9" x14ac:dyDescent="0.35">
      <c r="A25" s="14">
        <v>45690</v>
      </c>
      <c r="B25" s="1" t="s">
        <v>77</v>
      </c>
      <c r="C25" s="1" t="s">
        <v>352</v>
      </c>
      <c r="D25" s="1" t="s">
        <v>124</v>
      </c>
      <c r="E25" s="1">
        <v>18</v>
      </c>
      <c r="F25" s="8">
        <v>35000</v>
      </c>
      <c r="G25" s="10">
        <f t="shared" si="0"/>
        <v>630000</v>
      </c>
      <c r="H25" s="1" t="s">
        <v>89</v>
      </c>
      <c r="I25" s="15" t="s">
        <v>347</v>
      </c>
    </row>
    <row r="26" spans="1:9" x14ac:dyDescent="0.35">
      <c r="A26" s="14">
        <v>45690</v>
      </c>
      <c r="B26" s="1" t="s">
        <v>47</v>
      </c>
      <c r="C26" s="1" t="s">
        <v>81</v>
      </c>
      <c r="D26" s="1" t="s">
        <v>19</v>
      </c>
      <c r="E26" s="1">
        <v>4</v>
      </c>
      <c r="F26" s="8">
        <v>150000</v>
      </c>
      <c r="G26" s="10">
        <f t="shared" si="0"/>
        <v>600000</v>
      </c>
      <c r="H26" s="1" t="s">
        <v>311</v>
      </c>
      <c r="I26" s="15" t="s">
        <v>349</v>
      </c>
    </row>
    <row r="27" spans="1:9" x14ac:dyDescent="0.35">
      <c r="A27" s="14">
        <v>45693</v>
      </c>
      <c r="B27" s="1" t="s">
        <v>8</v>
      </c>
      <c r="C27" s="1" t="s">
        <v>90</v>
      </c>
      <c r="D27" s="1" t="s">
        <v>91</v>
      </c>
      <c r="E27" s="1">
        <v>5</v>
      </c>
      <c r="F27" s="8">
        <v>25000</v>
      </c>
      <c r="G27" s="10">
        <f t="shared" si="0"/>
        <v>125000</v>
      </c>
      <c r="H27" s="1" t="s">
        <v>60</v>
      </c>
      <c r="I27" s="15" t="s">
        <v>344</v>
      </c>
    </row>
    <row r="28" spans="1:9" x14ac:dyDescent="0.35">
      <c r="A28" s="14">
        <v>45693</v>
      </c>
      <c r="B28" s="1" t="s">
        <v>8</v>
      </c>
      <c r="C28" s="1" t="s">
        <v>90</v>
      </c>
      <c r="D28" s="1" t="s">
        <v>91</v>
      </c>
      <c r="E28" s="1">
        <v>20</v>
      </c>
      <c r="F28" s="8">
        <v>250000</v>
      </c>
      <c r="G28" s="10">
        <f t="shared" si="0"/>
        <v>5000000</v>
      </c>
      <c r="H28" s="1" t="s">
        <v>229</v>
      </c>
      <c r="I28" s="15" t="s">
        <v>16</v>
      </c>
    </row>
    <row r="29" spans="1:9" x14ac:dyDescent="0.35">
      <c r="A29" s="14">
        <v>45694</v>
      </c>
      <c r="B29" s="1" t="s">
        <v>47</v>
      </c>
      <c r="C29" s="1" t="s">
        <v>352</v>
      </c>
      <c r="D29" s="1" t="s">
        <v>124</v>
      </c>
      <c r="E29" s="1">
        <v>8</v>
      </c>
      <c r="F29" s="8">
        <v>350000</v>
      </c>
      <c r="G29" s="10">
        <f t="shared" si="0"/>
        <v>2800000</v>
      </c>
      <c r="H29" s="1" t="s">
        <v>134</v>
      </c>
      <c r="I29" s="15" t="s">
        <v>189</v>
      </c>
    </row>
    <row r="30" spans="1:9" x14ac:dyDescent="0.35">
      <c r="A30" s="14">
        <v>45694</v>
      </c>
      <c r="B30" s="1" t="s">
        <v>47</v>
      </c>
      <c r="C30" s="1" t="s">
        <v>90</v>
      </c>
      <c r="D30" s="1" t="s">
        <v>91</v>
      </c>
      <c r="E30" s="1">
        <v>20</v>
      </c>
      <c r="F30" s="8">
        <v>2500000</v>
      </c>
      <c r="G30" s="10">
        <f t="shared" si="0"/>
        <v>50000000</v>
      </c>
      <c r="H30" s="1" t="s">
        <v>134</v>
      </c>
      <c r="I30" s="15" t="s">
        <v>61</v>
      </c>
    </row>
    <row r="31" spans="1:9" x14ac:dyDescent="0.35">
      <c r="A31" s="14">
        <v>45694</v>
      </c>
      <c r="B31" s="1" t="s">
        <v>8</v>
      </c>
      <c r="C31" s="1" t="s">
        <v>352</v>
      </c>
      <c r="D31" s="1" t="s">
        <v>124</v>
      </c>
      <c r="E31" s="1">
        <v>11</v>
      </c>
      <c r="F31" s="8">
        <v>350000</v>
      </c>
      <c r="G31" s="10">
        <f t="shared" si="0"/>
        <v>3850000</v>
      </c>
      <c r="H31" s="1" t="s">
        <v>89</v>
      </c>
      <c r="I31" s="15" t="s">
        <v>348</v>
      </c>
    </row>
    <row r="32" spans="1:9" x14ac:dyDescent="0.35">
      <c r="A32" s="14">
        <v>45695</v>
      </c>
      <c r="B32" s="1" t="s">
        <v>8</v>
      </c>
      <c r="C32" s="1" t="s">
        <v>354</v>
      </c>
      <c r="D32" s="1" t="s">
        <v>337</v>
      </c>
      <c r="E32" s="1">
        <v>4</v>
      </c>
      <c r="F32" s="8">
        <v>73740</v>
      </c>
      <c r="G32" s="10">
        <f t="shared" si="0"/>
        <v>294960</v>
      </c>
      <c r="H32" s="1" t="s">
        <v>311</v>
      </c>
      <c r="I32" s="15" t="s">
        <v>350</v>
      </c>
    </row>
    <row r="33" spans="1:9" x14ac:dyDescent="0.35">
      <c r="A33" s="14">
        <v>45698</v>
      </c>
      <c r="B33" s="1" t="s">
        <v>47</v>
      </c>
      <c r="C33" s="1" t="s">
        <v>354</v>
      </c>
      <c r="D33" s="1" t="s">
        <v>337</v>
      </c>
      <c r="E33" s="1">
        <v>2</v>
      </c>
      <c r="F33" s="8">
        <v>65000</v>
      </c>
      <c r="G33" s="10">
        <f t="shared" si="0"/>
        <v>130000</v>
      </c>
      <c r="H33" s="1" t="s">
        <v>134</v>
      </c>
      <c r="I33" s="15" t="s">
        <v>16</v>
      </c>
    </row>
    <row r="34" spans="1:9" x14ac:dyDescent="0.35">
      <c r="A34" s="14">
        <v>45701</v>
      </c>
      <c r="B34" s="1" t="s">
        <v>47</v>
      </c>
      <c r="C34" s="1" t="s">
        <v>90</v>
      </c>
      <c r="D34" s="1" t="s">
        <v>91</v>
      </c>
      <c r="E34" s="1">
        <v>11</v>
      </c>
      <c r="F34" s="8">
        <v>2500000</v>
      </c>
      <c r="G34" s="10">
        <f t="shared" si="0"/>
        <v>27500000</v>
      </c>
      <c r="H34" s="1" t="s">
        <v>229</v>
      </c>
      <c r="I34" s="15" t="s">
        <v>61</v>
      </c>
    </row>
    <row r="35" spans="1:9" x14ac:dyDescent="0.35">
      <c r="A35" s="14">
        <v>45704</v>
      </c>
      <c r="B35" s="1" t="s">
        <v>77</v>
      </c>
      <c r="C35" s="1" t="s">
        <v>355</v>
      </c>
      <c r="D35" s="1" t="s">
        <v>85</v>
      </c>
      <c r="E35" s="1">
        <v>8</v>
      </c>
      <c r="F35" s="8">
        <v>175000</v>
      </c>
      <c r="G35" s="10">
        <f t="shared" si="0"/>
        <v>1400000</v>
      </c>
      <c r="H35" s="1" t="s">
        <v>134</v>
      </c>
      <c r="I35" s="15" t="s">
        <v>343</v>
      </c>
    </row>
    <row r="36" spans="1:9" x14ac:dyDescent="0.35">
      <c r="A36" s="14">
        <v>45707</v>
      </c>
      <c r="B36" s="1" t="s">
        <v>47</v>
      </c>
      <c r="C36" s="1" t="s">
        <v>81</v>
      </c>
      <c r="D36" s="1" t="s">
        <v>19</v>
      </c>
      <c r="E36" s="1">
        <v>9</v>
      </c>
      <c r="F36" s="8">
        <v>150000</v>
      </c>
      <c r="G36" s="10">
        <f t="shared" si="0"/>
        <v>1350000</v>
      </c>
      <c r="H36" s="1" t="s">
        <v>311</v>
      </c>
      <c r="I36" s="15" t="s">
        <v>346</v>
      </c>
    </row>
    <row r="37" spans="1:9" x14ac:dyDescent="0.35">
      <c r="A37" s="14">
        <v>45707</v>
      </c>
      <c r="B37" s="1" t="s">
        <v>77</v>
      </c>
      <c r="C37" s="1" t="s">
        <v>90</v>
      </c>
      <c r="D37" s="1" t="s">
        <v>91</v>
      </c>
      <c r="E37" s="1">
        <v>5</v>
      </c>
      <c r="F37" s="8">
        <v>250000</v>
      </c>
      <c r="G37" s="10">
        <f t="shared" si="0"/>
        <v>1250000</v>
      </c>
      <c r="H37" s="1" t="s">
        <v>311</v>
      </c>
      <c r="I37" s="15" t="s">
        <v>350</v>
      </c>
    </row>
    <row r="38" spans="1:9" x14ac:dyDescent="0.35">
      <c r="A38" s="14">
        <v>45708</v>
      </c>
      <c r="B38" s="1" t="s">
        <v>8</v>
      </c>
      <c r="C38" s="1" t="s">
        <v>356</v>
      </c>
      <c r="D38" s="1" t="s">
        <v>166</v>
      </c>
      <c r="E38" s="1">
        <v>18</v>
      </c>
      <c r="F38" s="8">
        <v>85000</v>
      </c>
      <c r="G38" s="10">
        <f t="shared" si="0"/>
        <v>1530000</v>
      </c>
      <c r="H38" s="1" t="s">
        <v>134</v>
      </c>
      <c r="I38" s="15" t="s">
        <v>348</v>
      </c>
    </row>
    <row r="39" spans="1:9" x14ac:dyDescent="0.35">
      <c r="A39" s="14">
        <v>45708</v>
      </c>
      <c r="B39" s="1" t="s">
        <v>47</v>
      </c>
      <c r="C39" s="1" t="s">
        <v>356</v>
      </c>
      <c r="D39" s="1" t="s">
        <v>166</v>
      </c>
      <c r="E39" s="1">
        <v>7</v>
      </c>
      <c r="F39" s="8">
        <v>89233</v>
      </c>
      <c r="G39" s="10">
        <f t="shared" si="0"/>
        <v>624631</v>
      </c>
      <c r="H39" s="1" t="s">
        <v>229</v>
      </c>
      <c r="I39" s="15" t="s">
        <v>189</v>
      </c>
    </row>
    <row r="40" spans="1:9" x14ac:dyDescent="0.35">
      <c r="A40" s="14">
        <v>45710</v>
      </c>
      <c r="B40" s="1" t="s">
        <v>77</v>
      </c>
      <c r="C40" s="1" t="s">
        <v>354</v>
      </c>
      <c r="D40" s="1" t="s">
        <v>337</v>
      </c>
      <c r="E40" s="1">
        <v>18</v>
      </c>
      <c r="F40" s="8">
        <v>650000</v>
      </c>
      <c r="G40" s="10">
        <f t="shared" si="0"/>
        <v>11700000</v>
      </c>
      <c r="H40" s="1" t="s">
        <v>342</v>
      </c>
      <c r="I40" s="15" t="s">
        <v>349</v>
      </c>
    </row>
    <row r="41" spans="1:9" x14ac:dyDescent="0.35">
      <c r="A41" s="14">
        <v>45712</v>
      </c>
      <c r="B41" s="1" t="s">
        <v>77</v>
      </c>
      <c r="C41" s="1" t="s">
        <v>355</v>
      </c>
      <c r="D41" s="1" t="s">
        <v>85</v>
      </c>
      <c r="E41" s="1">
        <v>2</v>
      </c>
      <c r="F41" s="8">
        <v>175000</v>
      </c>
      <c r="G41" s="10">
        <f t="shared" si="0"/>
        <v>350000</v>
      </c>
      <c r="H41" s="1" t="s">
        <v>134</v>
      </c>
      <c r="I41" s="15" t="s">
        <v>347</v>
      </c>
    </row>
    <row r="42" spans="1:9" x14ac:dyDescent="0.35">
      <c r="A42" s="14">
        <v>45713</v>
      </c>
      <c r="B42" s="1" t="s">
        <v>57</v>
      </c>
      <c r="C42" s="1" t="s">
        <v>356</v>
      </c>
      <c r="D42" s="1" t="s">
        <v>166</v>
      </c>
      <c r="E42" s="1">
        <v>6</v>
      </c>
      <c r="F42" s="8">
        <v>85000</v>
      </c>
      <c r="G42" s="10">
        <f t="shared" si="0"/>
        <v>510000</v>
      </c>
      <c r="H42" s="1" t="s">
        <v>60</v>
      </c>
      <c r="I42" s="15" t="s">
        <v>61</v>
      </c>
    </row>
    <row r="43" spans="1:9" x14ac:dyDescent="0.35">
      <c r="A43" s="14">
        <v>45713</v>
      </c>
      <c r="B43" s="1" t="s">
        <v>57</v>
      </c>
      <c r="C43" s="1" t="s">
        <v>81</v>
      </c>
      <c r="D43" s="1" t="s">
        <v>19</v>
      </c>
      <c r="E43" s="1">
        <v>3</v>
      </c>
      <c r="F43" s="8">
        <v>150000</v>
      </c>
      <c r="G43" s="10">
        <f t="shared" si="0"/>
        <v>450000</v>
      </c>
      <c r="H43" s="1" t="s">
        <v>311</v>
      </c>
      <c r="I43" s="15" t="s">
        <v>350</v>
      </c>
    </row>
    <row r="44" spans="1:9" x14ac:dyDescent="0.35">
      <c r="A44" s="14">
        <v>45714</v>
      </c>
      <c r="B44" s="1" t="s">
        <v>57</v>
      </c>
      <c r="C44" s="1" t="s">
        <v>355</v>
      </c>
      <c r="D44" s="1" t="s">
        <v>85</v>
      </c>
      <c r="E44" s="1">
        <v>5</v>
      </c>
      <c r="F44" s="8">
        <v>175000</v>
      </c>
      <c r="G44" s="10">
        <f t="shared" si="0"/>
        <v>875000</v>
      </c>
      <c r="H44" s="1" t="s">
        <v>89</v>
      </c>
      <c r="I44" s="15" t="s">
        <v>189</v>
      </c>
    </row>
    <row r="45" spans="1:9" x14ac:dyDescent="0.35">
      <c r="A45" s="14">
        <v>45714</v>
      </c>
      <c r="B45" s="1" t="s">
        <v>8</v>
      </c>
      <c r="C45" s="1" t="s">
        <v>81</v>
      </c>
      <c r="D45" s="1" t="s">
        <v>19</v>
      </c>
      <c r="E45" s="1">
        <v>19</v>
      </c>
      <c r="F45" s="8">
        <v>150000</v>
      </c>
      <c r="G45" s="10">
        <f t="shared" si="0"/>
        <v>2850000</v>
      </c>
      <c r="H45" s="1" t="s">
        <v>334</v>
      </c>
      <c r="I45" s="15" t="s">
        <v>346</v>
      </c>
    </row>
    <row r="46" spans="1:9" x14ac:dyDescent="0.35">
      <c r="A46" s="14">
        <v>45714</v>
      </c>
      <c r="B46" s="1" t="s">
        <v>8</v>
      </c>
      <c r="C46" s="1" t="s">
        <v>354</v>
      </c>
      <c r="D46" s="1" t="s">
        <v>337</v>
      </c>
      <c r="E46" s="1">
        <v>19</v>
      </c>
      <c r="F46" s="8">
        <v>65000</v>
      </c>
      <c r="G46" s="10">
        <f t="shared" si="0"/>
        <v>1235000</v>
      </c>
      <c r="H46" s="1" t="s">
        <v>342</v>
      </c>
      <c r="I46" s="15" t="s">
        <v>189</v>
      </c>
    </row>
    <row r="47" spans="1:9" x14ac:dyDescent="0.35">
      <c r="A47" s="14">
        <v>45716</v>
      </c>
      <c r="B47" s="1" t="s">
        <v>77</v>
      </c>
      <c r="C47" s="1" t="s">
        <v>356</v>
      </c>
      <c r="D47" s="1" t="s">
        <v>166</v>
      </c>
      <c r="E47" s="1">
        <v>18</v>
      </c>
      <c r="F47" s="8">
        <v>85000</v>
      </c>
      <c r="G47" s="10">
        <f t="shared" si="0"/>
        <v>1530000</v>
      </c>
      <c r="H47" s="1" t="s">
        <v>341</v>
      </c>
      <c r="I47" s="15" t="s">
        <v>51</v>
      </c>
    </row>
    <row r="48" spans="1:9" x14ac:dyDescent="0.35">
      <c r="A48" s="14">
        <v>45719</v>
      </c>
      <c r="B48" s="1" t="s">
        <v>77</v>
      </c>
      <c r="C48" s="1" t="s">
        <v>81</v>
      </c>
      <c r="D48" s="1" t="s">
        <v>19</v>
      </c>
      <c r="E48" s="1">
        <v>18</v>
      </c>
      <c r="F48" s="8">
        <v>150000</v>
      </c>
      <c r="G48" s="10">
        <f t="shared" si="0"/>
        <v>2700000</v>
      </c>
      <c r="H48" s="1" t="s">
        <v>229</v>
      </c>
      <c r="I48" s="15" t="s">
        <v>51</v>
      </c>
    </row>
    <row r="49" spans="1:9" x14ac:dyDescent="0.35">
      <c r="A49" s="14">
        <v>45723</v>
      </c>
      <c r="B49" s="1" t="s">
        <v>77</v>
      </c>
      <c r="C49" s="1" t="s">
        <v>355</v>
      </c>
      <c r="D49" s="1" t="s">
        <v>85</v>
      </c>
      <c r="E49" s="1">
        <v>18</v>
      </c>
      <c r="F49" s="8">
        <v>175000</v>
      </c>
      <c r="G49" s="10">
        <f t="shared" si="0"/>
        <v>3150000</v>
      </c>
      <c r="H49" s="1" t="s">
        <v>342</v>
      </c>
      <c r="I49" s="15" t="s">
        <v>343</v>
      </c>
    </row>
    <row r="50" spans="1:9" x14ac:dyDescent="0.35">
      <c r="A50" s="14">
        <v>45724</v>
      </c>
      <c r="B50" s="1" t="s">
        <v>57</v>
      </c>
      <c r="C50" s="1" t="s">
        <v>353</v>
      </c>
      <c r="D50" s="1" t="s">
        <v>19</v>
      </c>
      <c r="E50" s="1">
        <v>9</v>
      </c>
      <c r="F50" s="8">
        <v>180000</v>
      </c>
      <c r="G50" s="10">
        <f t="shared" si="0"/>
        <v>1620000</v>
      </c>
      <c r="H50" s="1" t="s">
        <v>60</v>
      </c>
      <c r="I50" s="15" t="s">
        <v>351</v>
      </c>
    </row>
    <row r="51" spans="1:9" x14ac:dyDescent="0.35">
      <c r="A51" s="14">
        <v>45725</v>
      </c>
      <c r="B51" s="1" t="s">
        <v>77</v>
      </c>
      <c r="C51" s="1" t="s">
        <v>90</v>
      </c>
      <c r="D51" s="1" t="s">
        <v>91</v>
      </c>
      <c r="E51" s="1">
        <v>20</v>
      </c>
      <c r="F51" s="8">
        <v>250000</v>
      </c>
      <c r="G51" s="10">
        <f t="shared" si="0"/>
        <v>5000000</v>
      </c>
      <c r="H51" s="1" t="s">
        <v>341</v>
      </c>
      <c r="I51" s="15" t="s">
        <v>189</v>
      </c>
    </row>
    <row r="52" spans="1:9" x14ac:dyDescent="0.35">
      <c r="A52" s="14">
        <v>45731</v>
      </c>
      <c r="B52" s="1" t="s">
        <v>8</v>
      </c>
      <c r="C52" s="1" t="s">
        <v>355</v>
      </c>
      <c r="D52" s="1" t="s">
        <v>85</v>
      </c>
      <c r="E52" s="1">
        <v>10</v>
      </c>
      <c r="F52" s="8">
        <v>175000</v>
      </c>
      <c r="G52" s="10">
        <f t="shared" si="0"/>
        <v>1750000</v>
      </c>
      <c r="H52" s="1" t="s">
        <v>60</v>
      </c>
      <c r="I52" s="15" t="s">
        <v>349</v>
      </c>
    </row>
    <row r="53" spans="1:9" x14ac:dyDescent="0.35">
      <c r="A53" s="14">
        <v>45735</v>
      </c>
      <c r="B53" s="1" t="s">
        <v>8</v>
      </c>
      <c r="C53" s="1" t="s">
        <v>81</v>
      </c>
      <c r="D53" s="1" t="s">
        <v>19</v>
      </c>
      <c r="E53" s="1">
        <v>6</v>
      </c>
      <c r="F53" s="8">
        <v>150000</v>
      </c>
      <c r="G53" s="10">
        <f t="shared" si="0"/>
        <v>900000</v>
      </c>
      <c r="H53" s="1" t="s">
        <v>134</v>
      </c>
      <c r="I53" s="15" t="s">
        <v>189</v>
      </c>
    </row>
    <row r="54" spans="1:9" x14ac:dyDescent="0.35">
      <c r="A54" s="14">
        <v>45740</v>
      </c>
      <c r="B54" s="1" t="s">
        <v>77</v>
      </c>
      <c r="C54" s="1" t="s">
        <v>81</v>
      </c>
      <c r="D54" s="1" t="s">
        <v>19</v>
      </c>
      <c r="E54" s="1">
        <v>20</v>
      </c>
      <c r="F54" s="8">
        <v>150000</v>
      </c>
      <c r="G54" s="10">
        <f t="shared" si="0"/>
        <v>3000000</v>
      </c>
      <c r="H54" s="1" t="s">
        <v>229</v>
      </c>
      <c r="I54" s="15" t="s">
        <v>100</v>
      </c>
    </row>
    <row r="55" spans="1:9" x14ac:dyDescent="0.35">
      <c r="A55" s="14">
        <v>45740</v>
      </c>
      <c r="B55" s="1" t="s">
        <v>47</v>
      </c>
      <c r="C55" s="1" t="s">
        <v>354</v>
      </c>
      <c r="D55" s="1" t="s">
        <v>337</v>
      </c>
      <c r="E55" s="1">
        <v>5</v>
      </c>
      <c r="F55" s="8">
        <v>65000</v>
      </c>
      <c r="G55" s="10">
        <f t="shared" si="0"/>
        <v>325000</v>
      </c>
      <c r="H55" s="1" t="s">
        <v>60</v>
      </c>
      <c r="I55" s="15" t="s">
        <v>346</v>
      </c>
    </row>
    <row r="56" spans="1:9" x14ac:dyDescent="0.35">
      <c r="A56" s="14">
        <v>45742</v>
      </c>
      <c r="B56" s="1" t="s">
        <v>77</v>
      </c>
      <c r="C56" s="1" t="s">
        <v>356</v>
      </c>
      <c r="D56" s="1" t="s">
        <v>166</v>
      </c>
      <c r="E56" s="1">
        <v>5</v>
      </c>
      <c r="F56" s="8">
        <v>85000</v>
      </c>
      <c r="G56" s="10">
        <f t="shared" si="0"/>
        <v>425000</v>
      </c>
      <c r="H56" s="1" t="s">
        <v>342</v>
      </c>
      <c r="I56" s="15" t="s">
        <v>351</v>
      </c>
    </row>
    <row r="57" spans="1:9" x14ac:dyDescent="0.35">
      <c r="A57" s="14">
        <v>45748</v>
      </c>
      <c r="B57" s="1" t="s">
        <v>47</v>
      </c>
      <c r="C57" s="1" t="s">
        <v>81</v>
      </c>
      <c r="D57" s="1" t="s">
        <v>19</v>
      </c>
      <c r="E57" s="1">
        <v>11</v>
      </c>
      <c r="F57" s="8">
        <v>150000</v>
      </c>
      <c r="G57" s="10">
        <f t="shared" si="0"/>
        <v>1650000</v>
      </c>
      <c r="H57" s="1" t="s">
        <v>311</v>
      </c>
      <c r="I57" s="15" t="s">
        <v>246</v>
      </c>
    </row>
    <row r="58" spans="1:9" x14ac:dyDescent="0.35">
      <c r="A58" s="14">
        <v>45751</v>
      </c>
      <c r="B58" s="1" t="s">
        <v>77</v>
      </c>
      <c r="C58" s="1" t="s">
        <v>81</v>
      </c>
      <c r="D58" s="1" t="s">
        <v>19</v>
      </c>
      <c r="E58" s="1">
        <v>17</v>
      </c>
      <c r="F58" s="8">
        <v>150000</v>
      </c>
      <c r="G58" s="10">
        <f t="shared" si="0"/>
        <v>2550000</v>
      </c>
      <c r="H58" s="1" t="s">
        <v>229</v>
      </c>
      <c r="I58" s="15" t="s">
        <v>16</v>
      </c>
    </row>
    <row r="59" spans="1:9" x14ac:dyDescent="0.35">
      <c r="A59" s="14">
        <v>45752</v>
      </c>
      <c r="B59" s="1" t="s">
        <v>77</v>
      </c>
      <c r="C59" s="1" t="s">
        <v>90</v>
      </c>
      <c r="D59" s="1" t="s">
        <v>91</v>
      </c>
      <c r="E59" s="1">
        <v>13</v>
      </c>
      <c r="F59" s="8">
        <v>250000</v>
      </c>
      <c r="G59" s="10">
        <f t="shared" si="0"/>
        <v>3250000</v>
      </c>
      <c r="H59" s="1" t="s">
        <v>89</v>
      </c>
      <c r="I59" s="15" t="s">
        <v>100</v>
      </c>
    </row>
    <row r="60" spans="1:9" x14ac:dyDescent="0.35">
      <c r="A60" s="14">
        <v>45753</v>
      </c>
      <c r="B60" s="1" t="s">
        <v>77</v>
      </c>
      <c r="C60" s="1" t="s">
        <v>90</v>
      </c>
      <c r="D60" s="1" t="s">
        <v>91</v>
      </c>
      <c r="E60" s="1">
        <v>20</v>
      </c>
      <c r="F60" s="8">
        <v>250000</v>
      </c>
      <c r="G60" s="10">
        <f t="shared" si="0"/>
        <v>5000000</v>
      </c>
      <c r="H60" s="1" t="s">
        <v>342</v>
      </c>
      <c r="I60" s="15" t="s">
        <v>16</v>
      </c>
    </row>
    <row r="61" spans="1:9" x14ac:dyDescent="0.35">
      <c r="A61" s="14">
        <v>45753</v>
      </c>
      <c r="B61" s="1" t="s">
        <v>8</v>
      </c>
      <c r="C61" s="1" t="s">
        <v>354</v>
      </c>
      <c r="D61" s="1" t="s">
        <v>337</v>
      </c>
      <c r="E61" s="1">
        <v>12</v>
      </c>
      <c r="F61" s="8">
        <v>65000</v>
      </c>
      <c r="G61" s="10">
        <f t="shared" si="0"/>
        <v>780000</v>
      </c>
      <c r="H61" s="1" t="s">
        <v>134</v>
      </c>
      <c r="I61" s="15" t="s">
        <v>100</v>
      </c>
    </row>
    <row r="62" spans="1:9" x14ac:dyDescent="0.35">
      <c r="A62" s="14">
        <v>45754</v>
      </c>
      <c r="B62" s="1" t="s">
        <v>8</v>
      </c>
      <c r="C62" s="1" t="s">
        <v>352</v>
      </c>
      <c r="D62" s="1" t="s">
        <v>124</v>
      </c>
      <c r="E62" s="1">
        <v>4</v>
      </c>
      <c r="F62" s="8">
        <v>350000</v>
      </c>
      <c r="G62" s="10">
        <f t="shared" si="0"/>
        <v>1400000</v>
      </c>
      <c r="H62" s="1" t="s">
        <v>342</v>
      </c>
      <c r="I62" s="15" t="s">
        <v>349</v>
      </c>
    </row>
    <row r="63" spans="1:9" x14ac:dyDescent="0.35">
      <c r="A63" s="14">
        <v>45755</v>
      </c>
      <c r="B63" s="1" t="s">
        <v>77</v>
      </c>
      <c r="C63" s="1" t="s">
        <v>352</v>
      </c>
      <c r="D63" s="1" t="s">
        <v>124</v>
      </c>
      <c r="E63" s="1">
        <v>6</v>
      </c>
      <c r="F63" s="8">
        <v>350000</v>
      </c>
      <c r="G63" s="10">
        <f t="shared" si="0"/>
        <v>2100000</v>
      </c>
      <c r="H63" s="1" t="s">
        <v>341</v>
      </c>
      <c r="I63" s="15" t="s">
        <v>16</v>
      </c>
    </row>
    <row r="64" spans="1:9" x14ac:dyDescent="0.35">
      <c r="A64" s="14">
        <v>45755</v>
      </c>
      <c r="B64" s="1" t="s">
        <v>8</v>
      </c>
      <c r="C64" s="1" t="s">
        <v>81</v>
      </c>
      <c r="D64" s="1" t="s">
        <v>19</v>
      </c>
      <c r="E64" s="1">
        <v>5</v>
      </c>
      <c r="F64" s="8">
        <v>150000</v>
      </c>
      <c r="G64" s="10">
        <f t="shared" si="0"/>
        <v>750000</v>
      </c>
      <c r="H64" s="1" t="s">
        <v>89</v>
      </c>
      <c r="I64" s="15" t="s">
        <v>51</v>
      </c>
    </row>
    <row r="65" spans="1:9" x14ac:dyDescent="0.35">
      <c r="A65" s="14">
        <v>45757</v>
      </c>
      <c r="B65" s="1" t="s">
        <v>77</v>
      </c>
      <c r="C65" s="1" t="s">
        <v>355</v>
      </c>
      <c r="D65" s="1" t="s">
        <v>85</v>
      </c>
      <c r="E65" s="1">
        <v>19</v>
      </c>
      <c r="F65" s="8">
        <v>175000</v>
      </c>
      <c r="G65" s="10">
        <f t="shared" si="0"/>
        <v>3325000</v>
      </c>
      <c r="H65" s="1" t="s">
        <v>311</v>
      </c>
      <c r="I65" s="15" t="s">
        <v>346</v>
      </c>
    </row>
    <row r="66" spans="1:9" x14ac:dyDescent="0.35">
      <c r="A66" s="14">
        <v>45761</v>
      </c>
      <c r="B66" s="1" t="s">
        <v>8</v>
      </c>
      <c r="C66" s="1" t="s">
        <v>356</v>
      </c>
      <c r="D66" s="1" t="s">
        <v>166</v>
      </c>
      <c r="E66" s="1">
        <v>2</v>
      </c>
      <c r="F66" s="8">
        <v>85000</v>
      </c>
      <c r="G66" s="10">
        <f t="shared" ref="G66:G101" si="1">PRODUCT(E66,F66)</f>
        <v>170000</v>
      </c>
      <c r="H66" s="1" t="s">
        <v>89</v>
      </c>
      <c r="I66" s="15" t="s">
        <v>346</v>
      </c>
    </row>
    <row r="67" spans="1:9" x14ac:dyDescent="0.35">
      <c r="A67" s="14">
        <v>45762</v>
      </c>
      <c r="B67" s="1" t="s">
        <v>8</v>
      </c>
      <c r="C67" s="1" t="s">
        <v>356</v>
      </c>
      <c r="D67" s="1" t="s">
        <v>166</v>
      </c>
      <c r="E67" s="1">
        <v>2</v>
      </c>
      <c r="F67" s="8">
        <v>85000</v>
      </c>
      <c r="G67" s="10">
        <f t="shared" si="1"/>
        <v>170000</v>
      </c>
      <c r="H67" s="1" t="s">
        <v>341</v>
      </c>
      <c r="I67" s="15" t="s">
        <v>343</v>
      </c>
    </row>
    <row r="68" spans="1:9" x14ac:dyDescent="0.35">
      <c r="A68" s="14">
        <v>45765</v>
      </c>
      <c r="B68" s="1" t="s">
        <v>8</v>
      </c>
      <c r="C68" s="1" t="s">
        <v>81</v>
      </c>
      <c r="D68" s="1" t="s">
        <v>19</v>
      </c>
      <c r="E68" s="1">
        <v>20</v>
      </c>
      <c r="F68" s="8">
        <v>150000</v>
      </c>
      <c r="G68" s="10">
        <f t="shared" si="1"/>
        <v>3000000</v>
      </c>
      <c r="H68" s="1" t="s">
        <v>229</v>
      </c>
      <c r="I68" s="15" t="s">
        <v>16</v>
      </c>
    </row>
    <row r="69" spans="1:9" x14ac:dyDescent="0.35">
      <c r="A69" s="14">
        <v>45776</v>
      </c>
      <c r="B69" s="1" t="s">
        <v>47</v>
      </c>
      <c r="C69" s="1" t="s">
        <v>81</v>
      </c>
      <c r="D69" s="1" t="s">
        <v>19</v>
      </c>
      <c r="E69" s="1">
        <v>1</v>
      </c>
      <c r="F69" s="8">
        <v>150000</v>
      </c>
      <c r="G69" s="10">
        <f t="shared" si="1"/>
        <v>150000</v>
      </c>
      <c r="H69" s="1" t="s">
        <v>60</v>
      </c>
      <c r="I69" s="15" t="s">
        <v>346</v>
      </c>
    </row>
    <row r="70" spans="1:9" x14ac:dyDescent="0.35">
      <c r="A70" s="14">
        <v>45779</v>
      </c>
      <c r="B70" s="1" t="s">
        <v>47</v>
      </c>
      <c r="C70" s="1" t="s">
        <v>81</v>
      </c>
      <c r="D70" s="1" t="s">
        <v>19</v>
      </c>
      <c r="E70" s="1">
        <v>3</v>
      </c>
      <c r="F70" s="8">
        <v>150000</v>
      </c>
      <c r="G70" s="10">
        <f t="shared" si="1"/>
        <v>450000</v>
      </c>
      <c r="H70" s="1" t="s">
        <v>60</v>
      </c>
      <c r="I70" s="15" t="s">
        <v>343</v>
      </c>
    </row>
    <row r="71" spans="1:9" x14ac:dyDescent="0.35">
      <c r="A71" s="14">
        <v>45782</v>
      </c>
      <c r="B71" s="1" t="s">
        <v>57</v>
      </c>
      <c r="C71" s="1" t="s">
        <v>352</v>
      </c>
      <c r="D71" s="1" t="s">
        <v>124</v>
      </c>
      <c r="E71" s="1">
        <v>8</v>
      </c>
      <c r="F71" s="8">
        <v>350000</v>
      </c>
      <c r="G71" s="10">
        <f t="shared" si="1"/>
        <v>2800000</v>
      </c>
      <c r="H71" s="1" t="s">
        <v>341</v>
      </c>
      <c r="I71" s="15" t="s">
        <v>100</v>
      </c>
    </row>
    <row r="72" spans="1:9" x14ac:dyDescent="0.35">
      <c r="A72" s="14">
        <v>45783</v>
      </c>
      <c r="B72" s="1" t="s">
        <v>47</v>
      </c>
      <c r="C72" s="1" t="s">
        <v>352</v>
      </c>
      <c r="D72" s="1" t="s">
        <v>124</v>
      </c>
      <c r="E72" s="1">
        <v>3</v>
      </c>
      <c r="F72" s="8">
        <v>350000</v>
      </c>
      <c r="G72" s="10">
        <f t="shared" si="1"/>
        <v>1050000</v>
      </c>
      <c r="H72" s="1" t="s">
        <v>60</v>
      </c>
      <c r="I72" s="15" t="s">
        <v>246</v>
      </c>
    </row>
    <row r="73" spans="1:9" x14ac:dyDescent="0.35">
      <c r="A73" s="14">
        <v>45784</v>
      </c>
      <c r="B73" s="1" t="s">
        <v>57</v>
      </c>
      <c r="C73" s="1" t="s">
        <v>353</v>
      </c>
      <c r="D73" s="1" t="s">
        <v>19</v>
      </c>
      <c r="E73" s="1">
        <v>10</v>
      </c>
      <c r="F73" s="8">
        <v>180000</v>
      </c>
      <c r="G73" s="10">
        <f t="shared" si="1"/>
        <v>1800000</v>
      </c>
      <c r="H73" s="1" t="s">
        <v>311</v>
      </c>
      <c r="I73" s="15" t="s">
        <v>246</v>
      </c>
    </row>
    <row r="74" spans="1:9" x14ac:dyDescent="0.35">
      <c r="A74" s="14">
        <v>45787</v>
      </c>
      <c r="B74" s="1" t="s">
        <v>57</v>
      </c>
      <c r="C74" s="1" t="s">
        <v>354</v>
      </c>
      <c r="D74" s="1" t="s">
        <v>337</v>
      </c>
      <c r="E74" s="1">
        <v>17</v>
      </c>
      <c r="F74" s="8">
        <v>65000</v>
      </c>
      <c r="G74" s="10">
        <f t="shared" si="1"/>
        <v>1105000</v>
      </c>
      <c r="H74" s="1" t="s">
        <v>89</v>
      </c>
      <c r="I74" s="15" t="s">
        <v>346</v>
      </c>
    </row>
    <row r="75" spans="1:9" x14ac:dyDescent="0.35">
      <c r="A75" s="14">
        <v>45788</v>
      </c>
      <c r="B75" s="1" t="s">
        <v>77</v>
      </c>
      <c r="C75" s="1" t="s">
        <v>355</v>
      </c>
      <c r="D75" s="1" t="s">
        <v>85</v>
      </c>
      <c r="E75" s="1">
        <v>12</v>
      </c>
      <c r="F75" s="8">
        <v>175000</v>
      </c>
      <c r="G75" s="10">
        <f t="shared" si="1"/>
        <v>2100000</v>
      </c>
      <c r="H75" s="1" t="s">
        <v>89</v>
      </c>
      <c r="I75" s="15" t="s">
        <v>61</v>
      </c>
    </row>
    <row r="76" spans="1:9" x14ac:dyDescent="0.35">
      <c r="A76" s="14">
        <v>45789</v>
      </c>
      <c r="B76" s="1" t="s">
        <v>47</v>
      </c>
      <c r="C76" s="1" t="s">
        <v>90</v>
      </c>
      <c r="D76" s="1" t="s">
        <v>91</v>
      </c>
      <c r="E76" s="1">
        <v>19</v>
      </c>
      <c r="F76" s="8">
        <v>250000</v>
      </c>
      <c r="G76" s="10">
        <f t="shared" si="1"/>
        <v>4750000</v>
      </c>
      <c r="H76" s="1" t="s">
        <v>342</v>
      </c>
      <c r="I76" s="15" t="s">
        <v>189</v>
      </c>
    </row>
    <row r="77" spans="1:9" x14ac:dyDescent="0.35">
      <c r="A77" s="14">
        <v>45790</v>
      </c>
      <c r="B77" s="1" t="s">
        <v>47</v>
      </c>
      <c r="C77" s="1" t="s">
        <v>81</v>
      </c>
      <c r="D77" s="1" t="s">
        <v>19</v>
      </c>
      <c r="E77" s="1">
        <v>18</v>
      </c>
      <c r="F77" s="8">
        <v>150000</v>
      </c>
      <c r="G77" s="10">
        <f t="shared" si="1"/>
        <v>2700000</v>
      </c>
      <c r="H77" s="1" t="s">
        <v>342</v>
      </c>
      <c r="I77" s="15" t="s">
        <v>51</v>
      </c>
    </row>
    <row r="78" spans="1:9" x14ac:dyDescent="0.35">
      <c r="A78" s="14">
        <v>45794</v>
      </c>
      <c r="B78" s="1" t="s">
        <v>8</v>
      </c>
      <c r="C78" s="1" t="s">
        <v>354</v>
      </c>
      <c r="D78" s="1" t="s">
        <v>337</v>
      </c>
      <c r="E78" s="1">
        <v>18</v>
      </c>
      <c r="F78" s="8">
        <v>65000</v>
      </c>
      <c r="G78" s="10">
        <f t="shared" si="1"/>
        <v>1170000</v>
      </c>
      <c r="H78" s="1" t="s">
        <v>341</v>
      </c>
      <c r="I78" s="15" t="s">
        <v>496</v>
      </c>
    </row>
    <row r="79" spans="1:9" x14ac:dyDescent="0.35">
      <c r="A79" s="14">
        <v>45796</v>
      </c>
      <c r="B79" s="1" t="s">
        <v>8</v>
      </c>
      <c r="C79" s="1" t="s">
        <v>356</v>
      </c>
      <c r="D79" s="1" t="s">
        <v>166</v>
      </c>
      <c r="E79" s="1">
        <v>13</v>
      </c>
      <c r="F79" s="8">
        <v>85000</v>
      </c>
      <c r="G79" s="10">
        <f t="shared" si="1"/>
        <v>1105000</v>
      </c>
      <c r="H79" s="1" t="s">
        <v>60</v>
      </c>
      <c r="I79" s="15" t="s">
        <v>100</v>
      </c>
    </row>
    <row r="80" spans="1:9" x14ac:dyDescent="0.35">
      <c r="A80" s="14">
        <v>45798</v>
      </c>
      <c r="B80" s="1" t="s">
        <v>77</v>
      </c>
      <c r="C80" s="1" t="s">
        <v>352</v>
      </c>
      <c r="D80" s="1" t="s">
        <v>124</v>
      </c>
      <c r="E80" s="1">
        <v>14</v>
      </c>
      <c r="F80" s="8">
        <v>350000</v>
      </c>
      <c r="G80" s="10">
        <f t="shared" si="1"/>
        <v>4900000</v>
      </c>
      <c r="H80" s="1" t="s">
        <v>342</v>
      </c>
      <c r="I80" s="15" t="s">
        <v>16</v>
      </c>
    </row>
    <row r="81" spans="1:9" x14ac:dyDescent="0.35">
      <c r="A81" s="14">
        <v>45802</v>
      </c>
      <c r="B81" s="1" t="s">
        <v>47</v>
      </c>
      <c r="C81" s="1" t="s">
        <v>355</v>
      </c>
      <c r="D81" s="1" t="s">
        <v>85</v>
      </c>
      <c r="E81" s="1">
        <v>3</v>
      </c>
      <c r="F81" s="8">
        <v>175000</v>
      </c>
      <c r="G81" s="10">
        <f t="shared" si="1"/>
        <v>525000</v>
      </c>
      <c r="H81" s="1" t="s">
        <v>342</v>
      </c>
      <c r="I81" s="15" t="s">
        <v>189</v>
      </c>
    </row>
    <row r="82" spans="1:9" x14ac:dyDescent="0.35">
      <c r="A82" s="14">
        <v>45802</v>
      </c>
      <c r="B82" s="1" t="s">
        <v>77</v>
      </c>
      <c r="C82" s="1" t="s">
        <v>81</v>
      </c>
      <c r="D82" s="1" t="s">
        <v>19</v>
      </c>
      <c r="E82" s="1">
        <v>1</v>
      </c>
      <c r="F82" s="8">
        <v>150000</v>
      </c>
      <c r="G82" s="10">
        <f t="shared" si="1"/>
        <v>150000</v>
      </c>
      <c r="H82" s="1" t="s">
        <v>342</v>
      </c>
      <c r="I82" s="15" t="s">
        <v>16</v>
      </c>
    </row>
    <row r="83" spans="1:9" x14ac:dyDescent="0.35">
      <c r="A83" s="14">
        <v>45803</v>
      </c>
      <c r="B83" s="1" t="s">
        <v>77</v>
      </c>
      <c r="C83" s="1" t="s">
        <v>353</v>
      </c>
      <c r="D83" s="1" t="s">
        <v>19</v>
      </c>
      <c r="E83" s="1">
        <v>19</v>
      </c>
      <c r="F83" s="8">
        <v>157427</v>
      </c>
      <c r="G83" s="10">
        <f t="shared" si="1"/>
        <v>2991113</v>
      </c>
      <c r="H83" s="1" t="s">
        <v>341</v>
      </c>
      <c r="I83" s="15" t="s">
        <v>16</v>
      </c>
    </row>
    <row r="84" spans="1:9" x14ac:dyDescent="0.35">
      <c r="A84" s="14">
        <v>45804</v>
      </c>
      <c r="B84" s="1" t="s">
        <v>77</v>
      </c>
      <c r="C84" s="1" t="s">
        <v>353</v>
      </c>
      <c r="D84" s="1" t="s">
        <v>19</v>
      </c>
      <c r="E84" s="1">
        <v>4</v>
      </c>
      <c r="F84" s="8">
        <v>180000</v>
      </c>
      <c r="G84" s="10">
        <f t="shared" si="1"/>
        <v>720000</v>
      </c>
      <c r="H84" s="1" t="s">
        <v>60</v>
      </c>
      <c r="I84" s="15" t="s">
        <v>16</v>
      </c>
    </row>
    <row r="85" spans="1:9" x14ac:dyDescent="0.35">
      <c r="A85" s="14">
        <v>45805</v>
      </c>
      <c r="B85" s="1" t="s">
        <v>57</v>
      </c>
      <c r="C85" s="1" t="s">
        <v>81</v>
      </c>
      <c r="D85" s="1" t="s">
        <v>19</v>
      </c>
      <c r="E85" s="1">
        <v>8</v>
      </c>
      <c r="F85" s="8">
        <v>150000</v>
      </c>
      <c r="G85" s="10">
        <f t="shared" si="1"/>
        <v>1200000</v>
      </c>
      <c r="H85" s="1" t="s">
        <v>341</v>
      </c>
      <c r="I85" s="15" t="s">
        <v>61</v>
      </c>
    </row>
    <row r="86" spans="1:9" x14ac:dyDescent="0.35">
      <c r="A86" s="14">
        <v>45806</v>
      </c>
      <c r="B86" s="1" t="s">
        <v>77</v>
      </c>
      <c r="C86" s="1" t="s">
        <v>353</v>
      </c>
      <c r="D86" s="1" t="s">
        <v>19</v>
      </c>
      <c r="E86" s="1">
        <v>13</v>
      </c>
      <c r="F86" s="8">
        <v>180000</v>
      </c>
      <c r="G86" s="10">
        <f t="shared" si="1"/>
        <v>2340000</v>
      </c>
      <c r="H86" s="1" t="s">
        <v>342</v>
      </c>
      <c r="I86" s="15" t="s">
        <v>344</v>
      </c>
    </row>
    <row r="87" spans="1:9" x14ac:dyDescent="0.35">
      <c r="A87" s="14">
        <v>45809</v>
      </c>
      <c r="B87" s="1" t="s">
        <v>77</v>
      </c>
      <c r="C87" s="1" t="s">
        <v>356</v>
      </c>
      <c r="D87" s="1" t="s">
        <v>166</v>
      </c>
      <c r="E87" s="1">
        <v>7</v>
      </c>
      <c r="F87" s="8">
        <v>85000</v>
      </c>
      <c r="G87" s="10">
        <f t="shared" si="1"/>
        <v>595000</v>
      </c>
      <c r="H87" s="1" t="s">
        <v>60</v>
      </c>
      <c r="I87" s="15" t="s">
        <v>343</v>
      </c>
    </row>
    <row r="88" spans="1:9" x14ac:dyDescent="0.35">
      <c r="A88" s="14">
        <v>45810</v>
      </c>
      <c r="B88" s="1" t="s">
        <v>57</v>
      </c>
      <c r="C88" s="1" t="s">
        <v>81</v>
      </c>
      <c r="D88" s="1" t="s">
        <v>19</v>
      </c>
      <c r="E88" s="1">
        <v>16</v>
      </c>
      <c r="F88" s="8">
        <v>150000</v>
      </c>
      <c r="G88" s="10">
        <f t="shared" si="1"/>
        <v>2400000</v>
      </c>
      <c r="H88" s="1" t="s">
        <v>341</v>
      </c>
      <c r="I88" s="15" t="s">
        <v>246</v>
      </c>
    </row>
    <row r="89" spans="1:9" x14ac:dyDescent="0.35">
      <c r="A89" s="14">
        <v>45811</v>
      </c>
      <c r="B89" s="1" t="s">
        <v>57</v>
      </c>
      <c r="C89" s="1" t="s">
        <v>81</v>
      </c>
      <c r="D89" s="1" t="s">
        <v>19</v>
      </c>
      <c r="E89" s="1">
        <v>1</v>
      </c>
      <c r="F89" s="8">
        <v>150000</v>
      </c>
      <c r="G89" s="10">
        <f t="shared" si="1"/>
        <v>150000</v>
      </c>
      <c r="H89" s="1" t="s">
        <v>342</v>
      </c>
      <c r="I89" s="15" t="s">
        <v>351</v>
      </c>
    </row>
    <row r="90" spans="1:9" x14ac:dyDescent="0.35">
      <c r="A90" s="14">
        <v>45815</v>
      </c>
      <c r="B90" s="1" t="s">
        <v>8</v>
      </c>
      <c r="C90" s="1" t="s">
        <v>352</v>
      </c>
      <c r="D90" s="1" t="s">
        <v>124</v>
      </c>
      <c r="E90" s="1">
        <v>20</v>
      </c>
      <c r="F90" s="8">
        <v>350000</v>
      </c>
      <c r="G90" s="10">
        <f t="shared" si="1"/>
        <v>7000000</v>
      </c>
      <c r="H90" s="1" t="s">
        <v>134</v>
      </c>
      <c r="I90" s="15" t="s">
        <v>189</v>
      </c>
    </row>
    <row r="91" spans="1:9" x14ac:dyDescent="0.35">
      <c r="A91" s="14">
        <v>45820</v>
      </c>
      <c r="B91" s="1" t="s">
        <v>77</v>
      </c>
      <c r="C91" s="1" t="s">
        <v>354</v>
      </c>
      <c r="D91" s="1" t="s">
        <v>337</v>
      </c>
      <c r="E91" s="1">
        <v>11</v>
      </c>
      <c r="F91" s="8">
        <v>62035</v>
      </c>
      <c r="G91" s="10">
        <f t="shared" si="1"/>
        <v>682385</v>
      </c>
      <c r="H91" s="1" t="s">
        <v>89</v>
      </c>
      <c r="I91" s="15" t="s">
        <v>348</v>
      </c>
    </row>
    <row r="92" spans="1:9" x14ac:dyDescent="0.35">
      <c r="A92" s="14">
        <v>45821</v>
      </c>
      <c r="B92" s="1" t="s">
        <v>8</v>
      </c>
      <c r="C92" s="1" t="s">
        <v>90</v>
      </c>
      <c r="D92" s="1" t="s">
        <v>91</v>
      </c>
      <c r="E92" s="1">
        <v>8</v>
      </c>
      <c r="F92" s="8">
        <v>2500000</v>
      </c>
      <c r="G92" s="10">
        <f t="shared" si="1"/>
        <v>20000000</v>
      </c>
      <c r="H92" s="1" t="s">
        <v>134</v>
      </c>
      <c r="I92" s="15" t="s">
        <v>343</v>
      </c>
    </row>
    <row r="93" spans="1:9" x14ac:dyDescent="0.35">
      <c r="A93" s="14">
        <v>45823</v>
      </c>
      <c r="B93" s="1" t="s">
        <v>8</v>
      </c>
      <c r="C93" s="1" t="s">
        <v>90</v>
      </c>
      <c r="D93" s="1" t="s">
        <v>91</v>
      </c>
      <c r="E93" s="1">
        <v>3</v>
      </c>
      <c r="F93" s="8">
        <v>250000</v>
      </c>
      <c r="G93" s="10">
        <f t="shared" si="1"/>
        <v>750000</v>
      </c>
      <c r="H93" s="1" t="s">
        <v>311</v>
      </c>
      <c r="I93" s="15" t="s">
        <v>246</v>
      </c>
    </row>
    <row r="94" spans="1:9" x14ac:dyDescent="0.35">
      <c r="A94" s="14">
        <v>45825</v>
      </c>
      <c r="B94" s="1" t="s">
        <v>47</v>
      </c>
      <c r="C94" s="1" t="s">
        <v>352</v>
      </c>
      <c r="D94" s="1" t="s">
        <v>124</v>
      </c>
      <c r="E94" s="1">
        <v>14</v>
      </c>
      <c r="F94" s="8">
        <v>350000</v>
      </c>
      <c r="G94" s="10">
        <f t="shared" si="1"/>
        <v>4900000</v>
      </c>
      <c r="H94" s="1" t="s">
        <v>89</v>
      </c>
      <c r="I94" s="15" t="s">
        <v>350</v>
      </c>
    </row>
    <row r="95" spans="1:9" x14ac:dyDescent="0.35">
      <c r="A95" s="14">
        <v>45825</v>
      </c>
      <c r="B95" s="1" t="s">
        <v>8</v>
      </c>
      <c r="C95" s="1" t="s">
        <v>352</v>
      </c>
      <c r="D95" s="1" t="s">
        <v>124</v>
      </c>
      <c r="E95" s="1">
        <v>17</v>
      </c>
      <c r="F95" s="8">
        <v>3500</v>
      </c>
      <c r="G95" s="10">
        <f t="shared" si="1"/>
        <v>59500</v>
      </c>
      <c r="H95" s="1" t="s">
        <v>89</v>
      </c>
      <c r="I95" s="15" t="s">
        <v>61</v>
      </c>
    </row>
    <row r="96" spans="1:9" x14ac:dyDescent="0.35">
      <c r="A96" s="14">
        <v>45825</v>
      </c>
      <c r="B96" s="1" t="s">
        <v>77</v>
      </c>
      <c r="C96" s="1" t="s">
        <v>356</v>
      </c>
      <c r="D96" s="1" t="s">
        <v>166</v>
      </c>
      <c r="E96" s="1">
        <v>6</v>
      </c>
      <c r="F96" s="8">
        <v>85000</v>
      </c>
      <c r="G96" s="10">
        <f t="shared" si="1"/>
        <v>510000</v>
      </c>
      <c r="H96" s="1" t="s">
        <v>229</v>
      </c>
      <c r="I96" s="15" t="s">
        <v>347</v>
      </c>
    </row>
    <row r="97" spans="1:9" x14ac:dyDescent="0.35">
      <c r="A97" s="14">
        <v>45834</v>
      </c>
      <c r="B97" s="1" t="s">
        <v>77</v>
      </c>
      <c r="C97" s="1" t="s">
        <v>355</v>
      </c>
      <c r="D97" s="1" t="s">
        <v>85</v>
      </c>
      <c r="E97" s="1">
        <v>20</v>
      </c>
      <c r="F97" s="8">
        <v>175000</v>
      </c>
      <c r="G97" s="10">
        <f t="shared" si="1"/>
        <v>3500000</v>
      </c>
      <c r="H97" s="1" t="s">
        <v>311</v>
      </c>
      <c r="I97" s="15" t="s">
        <v>343</v>
      </c>
    </row>
    <row r="98" spans="1:9" x14ac:dyDescent="0.35">
      <c r="A98" s="14">
        <v>45835</v>
      </c>
      <c r="B98" s="1" t="s">
        <v>57</v>
      </c>
      <c r="C98" s="1" t="s">
        <v>355</v>
      </c>
      <c r="D98" s="1" t="s">
        <v>85</v>
      </c>
      <c r="E98" s="1">
        <v>17</v>
      </c>
      <c r="F98" s="8">
        <v>175000</v>
      </c>
      <c r="G98" s="10">
        <f t="shared" si="1"/>
        <v>2975000</v>
      </c>
      <c r="H98" s="1" t="s">
        <v>341</v>
      </c>
      <c r="I98" s="15" t="s">
        <v>347</v>
      </c>
    </row>
    <row r="99" spans="1:9" x14ac:dyDescent="0.35">
      <c r="A99" s="14">
        <v>45836</v>
      </c>
      <c r="B99" s="1" t="s">
        <v>47</v>
      </c>
      <c r="C99" s="1" t="s">
        <v>81</v>
      </c>
      <c r="D99" s="1" t="s">
        <v>19</v>
      </c>
      <c r="E99" s="1">
        <v>4</v>
      </c>
      <c r="F99" s="8">
        <v>150000</v>
      </c>
      <c r="G99" s="10">
        <f t="shared" si="1"/>
        <v>600000</v>
      </c>
      <c r="H99" s="1" t="s">
        <v>134</v>
      </c>
      <c r="I99" s="15" t="s">
        <v>51</v>
      </c>
    </row>
    <row r="100" spans="1:9" x14ac:dyDescent="0.35">
      <c r="A100" s="14">
        <v>45837</v>
      </c>
      <c r="B100" s="1" t="s">
        <v>57</v>
      </c>
      <c r="C100" s="1" t="s">
        <v>355</v>
      </c>
      <c r="D100" s="1" t="s">
        <v>85</v>
      </c>
      <c r="E100" s="1">
        <v>8</v>
      </c>
      <c r="F100" s="8">
        <v>175000</v>
      </c>
      <c r="G100" s="10">
        <f t="shared" si="1"/>
        <v>1400000</v>
      </c>
      <c r="H100" s="1" t="s">
        <v>134</v>
      </c>
      <c r="I100" s="15" t="s">
        <v>51</v>
      </c>
    </row>
    <row r="101" spans="1:9" x14ac:dyDescent="0.35">
      <c r="A101" s="18">
        <v>45838</v>
      </c>
      <c r="B101" s="19" t="s">
        <v>77</v>
      </c>
      <c r="C101" s="19" t="s">
        <v>354</v>
      </c>
      <c r="D101" s="19" t="s">
        <v>337</v>
      </c>
      <c r="E101" s="19">
        <v>10</v>
      </c>
      <c r="F101" s="20">
        <v>65000</v>
      </c>
      <c r="G101" s="21">
        <f t="shared" si="1"/>
        <v>650000</v>
      </c>
      <c r="H101" s="19" t="s">
        <v>335</v>
      </c>
      <c r="I101" s="22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59D5-0304-4CF7-9E0D-3C37A16ACCFE}">
  <dimension ref="A1:I101"/>
  <sheetViews>
    <sheetView tabSelected="1" workbookViewId="0">
      <selection activeCell="L7" sqref="L7"/>
    </sheetView>
  </sheetViews>
  <sheetFormatPr defaultRowHeight="14.5" x14ac:dyDescent="0.35"/>
  <cols>
    <col min="1" max="1" width="9.7265625" bestFit="1" customWidth="1"/>
    <col min="2" max="2" width="6.453125" bestFit="1" customWidth="1"/>
    <col min="3" max="3" width="11.81640625" bestFit="1" customWidth="1"/>
    <col min="4" max="4" width="11.453125" bestFit="1" customWidth="1"/>
    <col min="5" max="5" width="9.1796875" bestFit="1" customWidth="1"/>
    <col min="6" max="6" width="11.7265625" bestFit="1" customWidth="1"/>
    <col min="7" max="7" width="12.7265625" bestFit="1" customWidth="1"/>
    <col min="8" max="8" width="14" bestFit="1" customWidth="1"/>
    <col min="9" max="9" width="16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7" t="s">
        <v>358</v>
      </c>
      <c r="H1" s="2" t="s">
        <v>6</v>
      </c>
      <c r="I1" s="2" t="s">
        <v>7</v>
      </c>
    </row>
    <row r="2" spans="1:9" x14ac:dyDescent="0.35">
      <c r="A2" s="3">
        <v>45661</v>
      </c>
      <c r="B2" s="1" t="s">
        <v>47</v>
      </c>
      <c r="C2" s="1" t="s">
        <v>352</v>
      </c>
      <c r="D2" s="1" t="s">
        <v>124</v>
      </c>
      <c r="E2" s="1">
        <v>19</v>
      </c>
      <c r="F2" s="8">
        <v>350000</v>
      </c>
      <c r="G2" s="10">
        <f t="shared" ref="G2:G65" si="0">PRODUCT(E2,F2)</f>
        <v>6650000</v>
      </c>
      <c r="H2" s="1" t="s">
        <v>341</v>
      </c>
      <c r="I2" s="1" t="s">
        <v>349</v>
      </c>
    </row>
    <row r="3" spans="1:9" x14ac:dyDescent="0.35">
      <c r="A3" s="3">
        <v>45663</v>
      </c>
      <c r="B3" s="1" t="s">
        <v>8</v>
      </c>
      <c r="C3" s="1" t="s">
        <v>81</v>
      </c>
      <c r="D3" s="1" t="s">
        <v>19</v>
      </c>
      <c r="E3" s="1">
        <v>20</v>
      </c>
      <c r="F3" s="8">
        <v>150000</v>
      </c>
      <c r="G3" s="10">
        <f t="shared" si="0"/>
        <v>3000000</v>
      </c>
      <c r="H3" s="1" t="s">
        <v>60</v>
      </c>
      <c r="I3" s="1" t="s">
        <v>347</v>
      </c>
    </row>
    <row r="4" spans="1:9" x14ac:dyDescent="0.35">
      <c r="A4" s="3">
        <v>45663</v>
      </c>
      <c r="B4" s="1" t="s">
        <v>57</v>
      </c>
      <c r="C4" s="1" t="s">
        <v>90</v>
      </c>
      <c r="D4" s="1" t="s">
        <v>91</v>
      </c>
      <c r="E4" s="1">
        <v>13</v>
      </c>
      <c r="F4" s="8">
        <v>250000</v>
      </c>
      <c r="G4" s="10">
        <f t="shared" si="0"/>
        <v>3250000</v>
      </c>
      <c r="H4" s="1" t="s">
        <v>342</v>
      </c>
      <c r="I4" s="1" t="s">
        <v>246</v>
      </c>
    </row>
    <row r="5" spans="1:9" x14ac:dyDescent="0.35">
      <c r="A5" s="3">
        <v>45666</v>
      </c>
      <c r="B5" s="1" t="s">
        <v>77</v>
      </c>
      <c r="C5" s="1" t="s">
        <v>81</v>
      </c>
      <c r="D5" s="1" t="s">
        <v>19</v>
      </c>
      <c r="E5" s="1">
        <v>12</v>
      </c>
      <c r="F5" s="8">
        <v>150000</v>
      </c>
      <c r="G5" s="10">
        <f t="shared" si="0"/>
        <v>1800000</v>
      </c>
      <c r="H5" s="1" t="s">
        <v>229</v>
      </c>
      <c r="I5" s="1" t="s">
        <v>51</v>
      </c>
    </row>
    <row r="6" spans="1:9" x14ac:dyDescent="0.35">
      <c r="A6" s="3">
        <v>45668</v>
      </c>
      <c r="B6" s="1" t="s">
        <v>47</v>
      </c>
      <c r="C6" s="1" t="s">
        <v>354</v>
      </c>
      <c r="D6" s="1" t="s">
        <v>337</v>
      </c>
      <c r="E6" s="1">
        <v>11</v>
      </c>
      <c r="F6" s="8">
        <v>65000</v>
      </c>
      <c r="G6" s="10">
        <f t="shared" si="0"/>
        <v>715000</v>
      </c>
      <c r="H6" s="1" t="s">
        <v>89</v>
      </c>
      <c r="I6" s="1" t="s">
        <v>348</v>
      </c>
    </row>
    <row r="7" spans="1:9" x14ac:dyDescent="0.35">
      <c r="A7" s="3">
        <v>45669</v>
      </c>
      <c r="B7" s="1" t="s">
        <v>57</v>
      </c>
      <c r="C7" s="1" t="s">
        <v>352</v>
      </c>
      <c r="D7" s="1" t="s">
        <v>124</v>
      </c>
      <c r="E7" s="1">
        <v>17</v>
      </c>
      <c r="F7" s="8">
        <v>350000</v>
      </c>
      <c r="G7" s="10">
        <f t="shared" si="0"/>
        <v>5950000</v>
      </c>
      <c r="H7" s="1" t="s">
        <v>311</v>
      </c>
      <c r="I7" s="1" t="s">
        <v>347</v>
      </c>
    </row>
    <row r="8" spans="1:9" x14ac:dyDescent="0.35">
      <c r="A8" s="3">
        <v>45670</v>
      </c>
      <c r="B8" s="1" t="s">
        <v>8</v>
      </c>
      <c r="C8" s="1" t="s">
        <v>353</v>
      </c>
      <c r="D8" s="1" t="s">
        <v>19</v>
      </c>
      <c r="E8" s="1">
        <v>8</v>
      </c>
      <c r="F8" s="8">
        <v>180000</v>
      </c>
      <c r="G8" s="10">
        <f t="shared" si="0"/>
        <v>1440000</v>
      </c>
      <c r="H8" s="1" t="s">
        <v>60</v>
      </c>
      <c r="I8" s="1" t="s">
        <v>61</v>
      </c>
    </row>
    <row r="9" spans="1:9" x14ac:dyDescent="0.35">
      <c r="A9" s="3">
        <v>45670</v>
      </c>
      <c r="B9" s="1" t="s">
        <v>47</v>
      </c>
      <c r="C9" s="1" t="s">
        <v>352</v>
      </c>
      <c r="D9" s="1" t="s">
        <v>124</v>
      </c>
      <c r="E9" s="1">
        <v>15</v>
      </c>
      <c r="F9" s="8">
        <v>350000</v>
      </c>
      <c r="G9" s="10">
        <f t="shared" si="0"/>
        <v>5250000</v>
      </c>
      <c r="H9" s="1" t="s">
        <v>89</v>
      </c>
      <c r="I9" s="1" t="s">
        <v>348</v>
      </c>
    </row>
    <row r="10" spans="1:9" x14ac:dyDescent="0.35">
      <c r="A10" s="3">
        <v>45671</v>
      </c>
      <c r="B10" s="1" t="s">
        <v>47</v>
      </c>
      <c r="C10" s="1" t="s">
        <v>354</v>
      </c>
      <c r="D10" s="1" t="s">
        <v>337</v>
      </c>
      <c r="E10" s="1">
        <v>13</v>
      </c>
      <c r="F10" s="8">
        <v>57912</v>
      </c>
      <c r="G10" s="10">
        <f t="shared" si="0"/>
        <v>752856</v>
      </c>
      <c r="H10" s="1" t="s">
        <v>229</v>
      </c>
      <c r="I10" s="1" t="s">
        <v>189</v>
      </c>
    </row>
    <row r="11" spans="1:9" x14ac:dyDescent="0.35">
      <c r="A11" s="3">
        <v>45671</v>
      </c>
      <c r="B11" s="1" t="s">
        <v>77</v>
      </c>
      <c r="C11" s="1" t="s">
        <v>90</v>
      </c>
      <c r="D11" s="1" t="s">
        <v>91</v>
      </c>
      <c r="E11" s="1">
        <v>14</v>
      </c>
      <c r="F11" s="8">
        <v>250000</v>
      </c>
      <c r="G11" s="10">
        <f t="shared" si="0"/>
        <v>3500000</v>
      </c>
      <c r="H11" s="1" t="s">
        <v>89</v>
      </c>
      <c r="I11" s="1" t="s">
        <v>246</v>
      </c>
    </row>
    <row r="12" spans="1:9" x14ac:dyDescent="0.35">
      <c r="A12" s="3">
        <v>45671</v>
      </c>
      <c r="B12" s="1" t="s">
        <v>47</v>
      </c>
      <c r="C12" s="1" t="s">
        <v>354</v>
      </c>
      <c r="D12" s="1" t="s">
        <v>337</v>
      </c>
      <c r="E12" s="1">
        <v>18</v>
      </c>
      <c r="F12" s="8">
        <v>65000</v>
      </c>
      <c r="G12" s="10">
        <f t="shared" si="0"/>
        <v>1170000</v>
      </c>
      <c r="H12" s="1" t="s">
        <v>89</v>
      </c>
      <c r="I12" s="1" t="s">
        <v>189</v>
      </c>
    </row>
    <row r="13" spans="1:9" x14ac:dyDescent="0.35">
      <c r="A13" s="3">
        <v>45673</v>
      </c>
      <c r="B13" s="1" t="s">
        <v>57</v>
      </c>
      <c r="C13" s="1" t="s">
        <v>356</v>
      </c>
      <c r="D13" s="1" t="s">
        <v>166</v>
      </c>
      <c r="E13" s="1">
        <v>11</v>
      </c>
      <c r="F13" s="8">
        <v>85000</v>
      </c>
      <c r="G13" s="10">
        <f t="shared" si="0"/>
        <v>935000</v>
      </c>
      <c r="H13" s="1" t="s">
        <v>342</v>
      </c>
      <c r="I13" s="1" t="s">
        <v>189</v>
      </c>
    </row>
    <row r="14" spans="1:9" x14ac:dyDescent="0.35">
      <c r="A14" s="3">
        <v>45673</v>
      </c>
      <c r="B14" s="1" t="s">
        <v>77</v>
      </c>
      <c r="C14" s="1" t="s">
        <v>356</v>
      </c>
      <c r="D14" s="1" t="s">
        <v>166</v>
      </c>
      <c r="E14" s="1">
        <v>10</v>
      </c>
      <c r="F14" s="8">
        <v>85000</v>
      </c>
      <c r="G14" s="10">
        <f t="shared" si="0"/>
        <v>850000</v>
      </c>
      <c r="H14" s="1" t="s">
        <v>60</v>
      </c>
      <c r="I14" s="1" t="s">
        <v>346</v>
      </c>
    </row>
    <row r="15" spans="1:9" x14ac:dyDescent="0.35">
      <c r="A15" s="3">
        <v>45680</v>
      </c>
      <c r="B15" s="1" t="s">
        <v>77</v>
      </c>
      <c r="C15" s="1" t="s">
        <v>81</v>
      </c>
      <c r="D15" s="1" t="s">
        <v>19</v>
      </c>
      <c r="E15" s="1">
        <v>10</v>
      </c>
      <c r="F15" s="8">
        <v>150000</v>
      </c>
      <c r="G15" s="10">
        <f t="shared" si="0"/>
        <v>1500000</v>
      </c>
      <c r="H15" s="1" t="s">
        <v>89</v>
      </c>
      <c r="I15" s="1" t="s">
        <v>100</v>
      </c>
    </row>
    <row r="16" spans="1:9" x14ac:dyDescent="0.35">
      <c r="A16" s="3">
        <v>45680</v>
      </c>
      <c r="B16" s="1" t="s">
        <v>57</v>
      </c>
      <c r="C16" s="1" t="s">
        <v>352</v>
      </c>
      <c r="D16" s="1" t="s">
        <v>124</v>
      </c>
      <c r="E16" s="1">
        <v>13</v>
      </c>
      <c r="F16" s="8">
        <v>350000</v>
      </c>
      <c r="G16" s="10">
        <f t="shared" si="0"/>
        <v>4550000</v>
      </c>
      <c r="H16" s="1" t="s">
        <v>229</v>
      </c>
      <c r="I16" s="1" t="s">
        <v>347</v>
      </c>
    </row>
    <row r="17" spans="1:9" x14ac:dyDescent="0.35">
      <c r="A17" s="3">
        <v>45684</v>
      </c>
      <c r="B17" s="1" t="s">
        <v>8</v>
      </c>
      <c r="C17" s="1" t="s">
        <v>352</v>
      </c>
      <c r="D17" s="1" t="s">
        <v>124</v>
      </c>
      <c r="E17" s="1">
        <v>13</v>
      </c>
      <c r="F17" s="8">
        <v>350000</v>
      </c>
      <c r="G17" s="10">
        <f t="shared" si="0"/>
        <v>4550000</v>
      </c>
      <c r="H17" s="1" t="s">
        <v>89</v>
      </c>
      <c r="I17" s="1" t="s">
        <v>189</v>
      </c>
    </row>
    <row r="18" spans="1:9" x14ac:dyDescent="0.35">
      <c r="A18" s="3">
        <v>45685</v>
      </c>
      <c r="B18" s="1" t="s">
        <v>47</v>
      </c>
      <c r="C18" s="1" t="s">
        <v>353</v>
      </c>
      <c r="D18" s="1" t="s">
        <v>19</v>
      </c>
      <c r="E18" s="1">
        <v>5</v>
      </c>
      <c r="F18" s="8">
        <v>180000</v>
      </c>
      <c r="G18" s="10">
        <f t="shared" si="0"/>
        <v>900000</v>
      </c>
      <c r="H18" s="1" t="s">
        <v>134</v>
      </c>
      <c r="I18" s="1" t="s">
        <v>246</v>
      </c>
    </row>
    <row r="19" spans="1:9" x14ac:dyDescent="0.35">
      <c r="A19" s="3">
        <v>45686</v>
      </c>
      <c r="B19" s="1" t="s">
        <v>57</v>
      </c>
      <c r="C19" s="1" t="s">
        <v>353</v>
      </c>
      <c r="D19" s="1" t="s">
        <v>19</v>
      </c>
      <c r="E19" s="1">
        <v>14</v>
      </c>
      <c r="F19" s="8">
        <v>180000</v>
      </c>
      <c r="G19" s="10">
        <f t="shared" si="0"/>
        <v>2520000</v>
      </c>
      <c r="H19" s="1" t="s">
        <v>229</v>
      </c>
      <c r="I19" s="1" t="s">
        <v>344</v>
      </c>
    </row>
    <row r="20" spans="1:9" x14ac:dyDescent="0.35">
      <c r="A20" s="3">
        <v>45687</v>
      </c>
      <c r="B20" s="1" t="s">
        <v>77</v>
      </c>
      <c r="C20" s="1" t="s">
        <v>354</v>
      </c>
      <c r="D20" s="1" t="s">
        <v>339</v>
      </c>
      <c r="E20" s="1">
        <v>18</v>
      </c>
      <c r="F20" s="8">
        <v>65000</v>
      </c>
      <c r="G20" s="10">
        <f t="shared" si="0"/>
        <v>1170000</v>
      </c>
      <c r="H20" s="1" t="s">
        <v>89</v>
      </c>
      <c r="I20" s="1" t="s">
        <v>350</v>
      </c>
    </row>
    <row r="21" spans="1:9" x14ac:dyDescent="0.35">
      <c r="A21" s="3">
        <v>45688</v>
      </c>
      <c r="B21" s="1" t="s">
        <v>77</v>
      </c>
      <c r="C21" s="1" t="s">
        <v>355</v>
      </c>
      <c r="D21" s="1" t="s">
        <v>85</v>
      </c>
      <c r="E21" s="1">
        <v>10</v>
      </c>
      <c r="F21" s="8">
        <v>175000</v>
      </c>
      <c r="G21" s="10">
        <f t="shared" si="0"/>
        <v>1750000</v>
      </c>
      <c r="H21" s="1" t="s">
        <v>229</v>
      </c>
      <c r="I21" s="1" t="s">
        <v>61</v>
      </c>
    </row>
    <row r="22" spans="1:9" x14ac:dyDescent="0.35">
      <c r="A22" s="3">
        <v>45688</v>
      </c>
      <c r="B22" s="1" t="s">
        <v>57</v>
      </c>
      <c r="C22" s="1" t="s">
        <v>90</v>
      </c>
      <c r="D22" s="1" t="s">
        <v>340</v>
      </c>
      <c r="E22" s="1">
        <v>20</v>
      </c>
      <c r="F22" s="8">
        <v>250000</v>
      </c>
      <c r="G22" s="10">
        <f t="shared" si="0"/>
        <v>5000000</v>
      </c>
      <c r="H22" s="1" t="s">
        <v>60</v>
      </c>
      <c r="I22" s="1" t="s">
        <v>61</v>
      </c>
    </row>
    <row r="23" spans="1:9" x14ac:dyDescent="0.35">
      <c r="A23" s="3">
        <v>45689</v>
      </c>
      <c r="B23" s="1" t="s">
        <v>77</v>
      </c>
      <c r="C23" s="1" t="s">
        <v>355</v>
      </c>
      <c r="D23" s="1" t="s">
        <v>85</v>
      </c>
      <c r="E23" s="1">
        <v>14</v>
      </c>
      <c r="F23" s="8">
        <v>175000</v>
      </c>
      <c r="G23" s="10">
        <f t="shared" si="0"/>
        <v>2450000</v>
      </c>
      <c r="H23" s="1" t="s">
        <v>229</v>
      </c>
      <c r="I23" s="1" t="s">
        <v>343</v>
      </c>
    </row>
    <row r="24" spans="1:9" x14ac:dyDescent="0.35">
      <c r="A24" s="3">
        <v>45689</v>
      </c>
      <c r="B24" s="1" t="s">
        <v>8</v>
      </c>
      <c r="C24" s="1" t="s">
        <v>352</v>
      </c>
      <c r="D24" s="1" t="s">
        <v>338</v>
      </c>
      <c r="E24" s="1">
        <v>15</v>
      </c>
      <c r="F24" s="8">
        <v>350000</v>
      </c>
      <c r="G24" s="10">
        <f t="shared" si="0"/>
        <v>5250000</v>
      </c>
      <c r="H24" s="1" t="s">
        <v>336</v>
      </c>
      <c r="I24" s="1" t="s">
        <v>344</v>
      </c>
    </row>
    <row r="25" spans="1:9" x14ac:dyDescent="0.35">
      <c r="A25" s="3">
        <v>45690</v>
      </c>
      <c r="B25" s="1" t="s">
        <v>77</v>
      </c>
      <c r="C25" s="1" t="s">
        <v>352</v>
      </c>
      <c r="D25" s="1" t="s">
        <v>124</v>
      </c>
      <c r="E25" s="1">
        <v>18</v>
      </c>
      <c r="F25" s="8">
        <v>35000</v>
      </c>
      <c r="G25" s="10">
        <f t="shared" si="0"/>
        <v>630000</v>
      </c>
      <c r="H25" s="1" t="s">
        <v>89</v>
      </c>
      <c r="I25" s="1" t="s">
        <v>347</v>
      </c>
    </row>
    <row r="26" spans="1:9" x14ac:dyDescent="0.35">
      <c r="A26" s="3">
        <v>45690</v>
      </c>
      <c r="B26" s="1" t="s">
        <v>47</v>
      </c>
      <c r="C26" s="1" t="s">
        <v>81</v>
      </c>
      <c r="D26" s="1" t="s">
        <v>19</v>
      </c>
      <c r="E26" s="1">
        <v>4</v>
      </c>
      <c r="F26" s="8">
        <v>150000</v>
      </c>
      <c r="G26" s="10">
        <f t="shared" si="0"/>
        <v>600000</v>
      </c>
      <c r="H26" s="1" t="s">
        <v>311</v>
      </c>
      <c r="I26" s="1" t="s">
        <v>349</v>
      </c>
    </row>
    <row r="27" spans="1:9" x14ac:dyDescent="0.35">
      <c r="A27" s="3">
        <v>45693</v>
      </c>
      <c r="B27" s="1" t="s">
        <v>8</v>
      </c>
      <c r="C27" s="1" t="s">
        <v>90</v>
      </c>
      <c r="D27" s="1" t="s">
        <v>91</v>
      </c>
      <c r="E27" s="1">
        <v>5</v>
      </c>
      <c r="F27" s="8">
        <v>25000</v>
      </c>
      <c r="G27" s="10">
        <f t="shared" si="0"/>
        <v>125000</v>
      </c>
      <c r="H27" s="1" t="s">
        <v>60</v>
      </c>
      <c r="I27" s="1" t="s">
        <v>344</v>
      </c>
    </row>
    <row r="28" spans="1:9" x14ac:dyDescent="0.35">
      <c r="A28" s="3">
        <v>45693</v>
      </c>
      <c r="B28" s="1" t="s">
        <v>8</v>
      </c>
      <c r="C28" s="1" t="s">
        <v>90</v>
      </c>
      <c r="D28" s="1" t="s">
        <v>91</v>
      </c>
      <c r="E28" s="1">
        <v>20</v>
      </c>
      <c r="F28" s="8">
        <v>250000</v>
      </c>
      <c r="G28" s="10">
        <f t="shared" si="0"/>
        <v>5000000</v>
      </c>
      <c r="H28" s="1" t="s">
        <v>229</v>
      </c>
      <c r="I28" s="1" t="s">
        <v>16</v>
      </c>
    </row>
    <row r="29" spans="1:9" x14ac:dyDescent="0.35">
      <c r="A29" s="3">
        <v>45694</v>
      </c>
      <c r="B29" s="1" t="s">
        <v>47</v>
      </c>
      <c r="C29" s="1" t="s">
        <v>352</v>
      </c>
      <c r="D29" s="1" t="s">
        <v>124</v>
      </c>
      <c r="E29" s="1">
        <v>8</v>
      </c>
      <c r="F29" s="8">
        <v>350000</v>
      </c>
      <c r="G29" s="10">
        <f t="shared" si="0"/>
        <v>2800000</v>
      </c>
      <c r="H29" s="1" t="s">
        <v>134</v>
      </c>
      <c r="I29" s="1" t="s">
        <v>189</v>
      </c>
    </row>
    <row r="30" spans="1:9" x14ac:dyDescent="0.35">
      <c r="A30" s="3">
        <v>45694</v>
      </c>
      <c r="B30" s="1" t="s">
        <v>47</v>
      </c>
      <c r="C30" s="1" t="s">
        <v>90</v>
      </c>
      <c r="D30" s="1" t="s">
        <v>91</v>
      </c>
      <c r="E30" s="1">
        <v>20</v>
      </c>
      <c r="F30" s="8">
        <v>2500000</v>
      </c>
      <c r="G30" s="10">
        <f t="shared" si="0"/>
        <v>50000000</v>
      </c>
      <c r="H30" s="1" t="s">
        <v>134</v>
      </c>
      <c r="I30" s="1" t="s">
        <v>61</v>
      </c>
    </row>
    <row r="31" spans="1:9" x14ac:dyDescent="0.35">
      <c r="A31" s="3">
        <v>45694</v>
      </c>
      <c r="B31" s="1" t="s">
        <v>8</v>
      </c>
      <c r="C31" s="1" t="s">
        <v>352</v>
      </c>
      <c r="D31" s="1" t="s">
        <v>124</v>
      </c>
      <c r="E31" s="1">
        <v>11</v>
      </c>
      <c r="F31" s="8">
        <v>350000</v>
      </c>
      <c r="G31" s="10">
        <f t="shared" si="0"/>
        <v>3850000</v>
      </c>
      <c r="H31" s="1" t="s">
        <v>89</v>
      </c>
      <c r="I31" s="1" t="s">
        <v>348</v>
      </c>
    </row>
    <row r="32" spans="1:9" x14ac:dyDescent="0.35">
      <c r="A32" s="3">
        <v>45695</v>
      </c>
      <c r="B32" s="1" t="s">
        <v>8</v>
      </c>
      <c r="C32" s="1" t="s">
        <v>354</v>
      </c>
      <c r="D32" s="1" t="s">
        <v>337</v>
      </c>
      <c r="E32" s="1">
        <v>4</v>
      </c>
      <c r="F32" s="8">
        <v>73740</v>
      </c>
      <c r="G32" s="10">
        <f t="shared" si="0"/>
        <v>294960</v>
      </c>
      <c r="H32" s="1" t="s">
        <v>311</v>
      </c>
      <c r="I32" s="1" t="s">
        <v>350</v>
      </c>
    </row>
    <row r="33" spans="1:9" x14ac:dyDescent="0.35">
      <c r="A33" s="3">
        <v>45698</v>
      </c>
      <c r="B33" s="1" t="s">
        <v>47</v>
      </c>
      <c r="C33" s="1" t="s">
        <v>354</v>
      </c>
      <c r="D33" s="1" t="s">
        <v>337</v>
      </c>
      <c r="E33" s="1">
        <v>2</v>
      </c>
      <c r="F33" s="8">
        <v>65000</v>
      </c>
      <c r="G33" s="10">
        <f t="shared" si="0"/>
        <v>130000</v>
      </c>
      <c r="H33" s="1" t="s">
        <v>134</v>
      </c>
      <c r="I33" s="1" t="s">
        <v>345</v>
      </c>
    </row>
    <row r="34" spans="1:9" x14ac:dyDescent="0.35">
      <c r="A34" s="3">
        <v>45701</v>
      </c>
      <c r="B34" s="1" t="s">
        <v>47</v>
      </c>
      <c r="C34" s="1" t="s">
        <v>90</v>
      </c>
      <c r="D34" s="1" t="s">
        <v>91</v>
      </c>
      <c r="E34" s="1">
        <v>11</v>
      </c>
      <c r="F34" s="8">
        <v>2500000</v>
      </c>
      <c r="G34" s="10">
        <f t="shared" si="0"/>
        <v>27500000</v>
      </c>
      <c r="H34" s="1" t="s">
        <v>229</v>
      </c>
      <c r="I34" s="1" t="s">
        <v>61</v>
      </c>
    </row>
    <row r="35" spans="1:9" x14ac:dyDescent="0.35">
      <c r="A35" s="3">
        <v>45704</v>
      </c>
      <c r="B35" s="1" t="s">
        <v>77</v>
      </c>
      <c r="C35" s="1" t="s">
        <v>355</v>
      </c>
      <c r="D35" s="1" t="s">
        <v>85</v>
      </c>
      <c r="E35" s="1">
        <v>8</v>
      </c>
      <c r="F35" s="8">
        <v>175000</v>
      </c>
      <c r="G35" s="10">
        <f t="shared" si="0"/>
        <v>1400000</v>
      </c>
      <c r="H35" s="1" t="s">
        <v>134</v>
      </c>
      <c r="I35" s="1" t="s">
        <v>343</v>
      </c>
    </row>
    <row r="36" spans="1:9" x14ac:dyDescent="0.35">
      <c r="A36" s="3">
        <v>45707</v>
      </c>
      <c r="B36" s="1" t="s">
        <v>47</v>
      </c>
      <c r="C36" s="1" t="s">
        <v>81</v>
      </c>
      <c r="D36" s="1" t="s">
        <v>19</v>
      </c>
      <c r="E36" s="1">
        <v>9</v>
      </c>
      <c r="F36" s="8">
        <v>150000</v>
      </c>
      <c r="G36" s="10">
        <f t="shared" si="0"/>
        <v>1350000</v>
      </c>
      <c r="H36" s="1" t="s">
        <v>311</v>
      </c>
      <c r="I36" s="1" t="s">
        <v>346</v>
      </c>
    </row>
    <row r="37" spans="1:9" x14ac:dyDescent="0.35">
      <c r="A37" s="3">
        <v>45707</v>
      </c>
      <c r="B37" s="1" t="s">
        <v>77</v>
      </c>
      <c r="C37" s="1" t="s">
        <v>90</v>
      </c>
      <c r="D37" s="1" t="s">
        <v>91</v>
      </c>
      <c r="E37" s="1">
        <v>5</v>
      </c>
      <c r="F37" s="8">
        <v>250000</v>
      </c>
      <c r="G37" s="10">
        <f t="shared" si="0"/>
        <v>1250000</v>
      </c>
      <c r="H37" s="1" t="s">
        <v>311</v>
      </c>
      <c r="I37" s="1" t="s">
        <v>350</v>
      </c>
    </row>
    <row r="38" spans="1:9" x14ac:dyDescent="0.35">
      <c r="A38" s="3">
        <v>45708</v>
      </c>
      <c r="B38" s="1" t="s">
        <v>8</v>
      </c>
      <c r="C38" s="1" t="s">
        <v>356</v>
      </c>
      <c r="D38" s="1" t="s">
        <v>166</v>
      </c>
      <c r="E38" s="1">
        <v>18</v>
      </c>
      <c r="F38" s="8">
        <v>85000</v>
      </c>
      <c r="G38" s="10">
        <f t="shared" si="0"/>
        <v>1530000</v>
      </c>
      <c r="H38" s="1" t="s">
        <v>134</v>
      </c>
      <c r="I38" s="1" t="s">
        <v>348</v>
      </c>
    </row>
    <row r="39" spans="1:9" x14ac:dyDescent="0.35">
      <c r="A39" s="3">
        <v>45708</v>
      </c>
      <c r="B39" s="1" t="s">
        <v>47</v>
      </c>
      <c r="C39" s="1" t="s">
        <v>356</v>
      </c>
      <c r="D39" s="1" t="s">
        <v>166</v>
      </c>
      <c r="E39" s="1">
        <v>7</v>
      </c>
      <c r="F39" s="8">
        <v>89233</v>
      </c>
      <c r="G39" s="10">
        <f t="shared" si="0"/>
        <v>624631</v>
      </c>
      <c r="H39" s="1" t="s">
        <v>229</v>
      </c>
      <c r="I39" s="1" t="s">
        <v>189</v>
      </c>
    </row>
    <row r="40" spans="1:9" x14ac:dyDescent="0.35">
      <c r="A40" s="3">
        <v>45710</v>
      </c>
      <c r="B40" s="1" t="s">
        <v>77</v>
      </c>
      <c r="C40" s="1" t="s">
        <v>354</v>
      </c>
      <c r="D40" s="1" t="s">
        <v>337</v>
      </c>
      <c r="E40" s="1">
        <v>18</v>
      </c>
      <c r="F40" s="8">
        <v>650000</v>
      </c>
      <c r="G40" s="10">
        <f t="shared" si="0"/>
        <v>11700000</v>
      </c>
      <c r="H40" s="1" t="s">
        <v>342</v>
      </c>
      <c r="I40" s="1" t="s">
        <v>349</v>
      </c>
    </row>
    <row r="41" spans="1:9" x14ac:dyDescent="0.35">
      <c r="A41" s="3">
        <v>45712</v>
      </c>
      <c r="B41" s="1" t="s">
        <v>77</v>
      </c>
      <c r="C41" s="1" t="s">
        <v>355</v>
      </c>
      <c r="D41" s="1" t="s">
        <v>85</v>
      </c>
      <c r="E41" s="1">
        <v>2</v>
      </c>
      <c r="F41" s="8">
        <v>175000</v>
      </c>
      <c r="G41" s="10">
        <f t="shared" si="0"/>
        <v>350000</v>
      </c>
      <c r="H41" s="1" t="s">
        <v>134</v>
      </c>
      <c r="I41" s="1" t="s">
        <v>347</v>
      </c>
    </row>
    <row r="42" spans="1:9" x14ac:dyDescent="0.35">
      <c r="A42" s="3">
        <v>45713</v>
      </c>
      <c r="B42" s="1" t="s">
        <v>57</v>
      </c>
      <c r="C42" s="1" t="s">
        <v>356</v>
      </c>
      <c r="D42" s="1" t="s">
        <v>166</v>
      </c>
      <c r="E42" s="1">
        <v>6</v>
      </c>
      <c r="F42" s="8">
        <v>85000</v>
      </c>
      <c r="G42" s="10">
        <f t="shared" si="0"/>
        <v>510000</v>
      </c>
      <c r="H42" s="1" t="s">
        <v>60</v>
      </c>
      <c r="I42" s="1" t="s">
        <v>61</v>
      </c>
    </row>
    <row r="43" spans="1:9" x14ac:dyDescent="0.35">
      <c r="A43" s="3">
        <v>45713</v>
      </c>
      <c r="B43" s="1" t="s">
        <v>57</v>
      </c>
      <c r="C43" s="1" t="s">
        <v>81</v>
      </c>
      <c r="D43" s="1" t="s">
        <v>19</v>
      </c>
      <c r="E43" s="1">
        <v>3</v>
      </c>
      <c r="F43" s="8">
        <v>150000</v>
      </c>
      <c r="G43" s="10">
        <f t="shared" si="0"/>
        <v>450000</v>
      </c>
      <c r="H43" s="1" t="s">
        <v>311</v>
      </c>
      <c r="I43" s="1" t="s">
        <v>350</v>
      </c>
    </row>
    <row r="44" spans="1:9" x14ac:dyDescent="0.35">
      <c r="A44" s="3">
        <v>45714</v>
      </c>
      <c r="B44" s="1" t="s">
        <v>57</v>
      </c>
      <c r="C44" s="1" t="s">
        <v>355</v>
      </c>
      <c r="D44" s="1" t="s">
        <v>85</v>
      </c>
      <c r="E44" s="1">
        <v>5</v>
      </c>
      <c r="F44" s="8">
        <v>175000</v>
      </c>
      <c r="G44" s="10">
        <f t="shared" si="0"/>
        <v>875000</v>
      </c>
      <c r="H44" s="1" t="s">
        <v>89</v>
      </c>
      <c r="I44" s="1" t="s">
        <v>189</v>
      </c>
    </row>
    <row r="45" spans="1:9" x14ac:dyDescent="0.35">
      <c r="A45" s="3">
        <v>45714</v>
      </c>
      <c r="B45" s="1" t="s">
        <v>8</v>
      </c>
      <c r="C45" s="1" t="s">
        <v>81</v>
      </c>
      <c r="D45" s="1" t="s">
        <v>19</v>
      </c>
      <c r="E45" s="1">
        <v>19</v>
      </c>
      <c r="F45" s="8">
        <v>150000</v>
      </c>
      <c r="G45" s="10">
        <f t="shared" si="0"/>
        <v>2850000</v>
      </c>
      <c r="H45" s="1" t="s">
        <v>334</v>
      </c>
      <c r="I45" s="1" t="s">
        <v>346</v>
      </c>
    </row>
    <row r="46" spans="1:9" x14ac:dyDescent="0.35">
      <c r="A46" s="3">
        <v>45714</v>
      </c>
      <c r="B46" s="1" t="s">
        <v>8</v>
      </c>
      <c r="C46" s="1" t="s">
        <v>354</v>
      </c>
      <c r="D46" s="1" t="s">
        <v>337</v>
      </c>
      <c r="E46" s="1">
        <v>19</v>
      </c>
      <c r="F46" s="8">
        <v>65000</v>
      </c>
      <c r="G46" s="10">
        <f t="shared" si="0"/>
        <v>1235000</v>
      </c>
      <c r="H46" s="1" t="s">
        <v>342</v>
      </c>
      <c r="I46" s="1" t="s">
        <v>189</v>
      </c>
    </row>
    <row r="47" spans="1:9" x14ac:dyDescent="0.35">
      <c r="A47" s="3">
        <v>45716</v>
      </c>
      <c r="B47" s="1" t="s">
        <v>77</v>
      </c>
      <c r="C47" s="1" t="s">
        <v>356</v>
      </c>
      <c r="D47" s="1" t="s">
        <v>166</v>
      </c>
      <c r="E47" s="1">
        <v>18</v>
      </c>
      <c r="F47" s="8">
        <v>85000</v>
      </c>
      <c r="G47" s="10">
        <f t="shared" si="0"/>
        <v>1530000</v>
      </c>
      <c r="H47" s="1" t="s">
        <v>341</v>
      </c>
      <c r="I47" s="1" t="s">
        <v>51</v>
      </c>
    </row>
    <row r="48" spans="1:9" x14ac:dyDescent="0.35">
      <c r="A48" s="3">
        <v>45719</v>
      </c>
      <c r="B48" s="1" t="s">
        <v>77</v>
      </c>
      <c r="C48" s="1" t="s">
        <v>81</v>
      </c>
      <c r="D48" s="1" t="s">
        <v>19</v>
      </c>
      <c r="E48" s="1">
        <v>18</v>
      </c>
      <c r="F48" s="8">
        <v>150000</v>
      </c>
      <c r="G48" s="10">
        <f t="shared" si="0"/>
        <v>2700000</v>
      </c>
      <c r="H48" s="1" t="s">
        <v>229</v>
      </c>
      <c r="I48" s="1" t="s">
        <v>51</v>
      </c>
    </row>
    <row r="49" spans="1:9" x14ac:dyDescent="0.35">
      <c r="A49" s="3">
        <v>45723</v>
      </c>
      <c r="B49" s="1" t="s">
        <v>77</v>
      </c>
      <c r="C49" s="1" t="s">
        <v>355</v>
      </c>
      <c r="D49" s="1" t="s">
        <v>85</v>
      </c>
      <c r="E49" s="1">
        <v>18</v>
      </c>
      <c r="F49" s="8">
        <v>175000</v>
      </c>
      <c r="G49" s="10">
        <f t="shared" si="0"/>
        <v>3150000</v>
      </c>
      <c r="H49" s="1" t="s">
        <v>342</v>
      </c>
      <c r="I49" s="1" t="s">
        <v>343</v>
      </c>
    </row>
    <row r="50" spans="1:9" x14ac:dyDescent="0.35">
      <c r="A50" s="3">
        <v>45724</v>
      </c>
      <c r="B50" s="1" t="s">
        <v>57</v>
      </c>
      <c r="C50" s="1" t="s">
        <v>353</v>
      </c>
      <c r="D50" s="1" t="s">
        <v>19</v>
      </c>
      <c r="E50" s="1">
        <v>9</v>
      </c>
      <c r="F50" s="8">
        <v>180000</v>
      </c>
      <c r="G50" s="10">
        <f t="shared" si="0"/>
        <v>1620000</v>
      </c>
      <c r="H50" s="1" t="s">
        <v>60</v>
      </c>
      <c r="I50" s="1" t="s">
        <v>351</v>
      </c>
    </row>
    <row r="51" spans="1:9" x14ac:dyDescent="0.35">
      <c r="A51" s="3">
        <v>45725</v>
      </c>
      <c r="B51" s="1" t="s">
        <v>77</v>
      </c>
      <c r="C51" s="1" t="s">
        <v>90</v>
      </c>
      <c r="D51" s="1" t="s">
        <v>91</v>
      </c>
      <c r="E51" s="1">
        <v>20</v>
      </c>
      <c r="F51" s="8">
        <v>250000</v>
      </c>
      <c r="G51" s="10">
        <f t="shared" si="0"/>
        <v>5000000</v>
      </c>
      <c r="H51" s="1" t="s">
        <v>341</v>
      </c>
      <c r="I51" s="1" t="s">
        <v>189</v>
      </c>
    </row>
    <row r="52" spans="1:9" x14ac:dyDescent="0.35">
      <c r="A52" s="3">
        <v>45731</v>
      </c>
      <c r="B52" s="1" t="s">
        <v>8</v>
      </c>
      <c r="C52" s="1" t="s">
        <v>355</v>
      </c>
      <c r="D52" s="1" t="s">
        <v>85</v>
      </c>
      <c r="E52" s="1">
        <v>10</v>
      </c>
      <c r="F52" s="8">
        <v>175000</v>
      </c>
      <c r="G52" s="10">
        <f t="shared" si="0"/>
        <v>1750000</v>
      </c>
      <c r="H52" s="1" t="s">
        <v>60</v>
      </c>
      <c r="I52" s="1" t="s">
        <v>349</v>
      </c>
    </row>
    <row r="53" spans="1:9" x14ac:dyDescent="0.35">
      <c r="A53" s="3">
        <v>45735</v>
      </c>
      <c r="B53" s="1" t="s">
        <v>8</v>
      </c>
      <c r="C53" s="1" t="s">
        <v>81</v>
      </c>
      <c r="D53" s="1" t="s">
        <v>19</v>
      </c>
      <c r="E53" s="1">
        <v>6</v>
      </c>
      <c r="F53" s="8">
        <v>150000</v>
      </c>
      <c r="G53" s="10">
        <f t="shared" si="0"/>
        <v>900000</v>
      </c>
      <c r="H53" s="1" t="s">
        <v>134</v>
      </c>
      <c r="I53" s="1" t="s">
        <v>189</v>
      </c>
    </row>
    <row r="54" spans="1:9" x14ac:dyDescent="0.35">
      <c r="A54" s="3">
        <v>45740</v>
      </c>
      <c r="B54" s="1" t="s">
        <v>77</v>
      </c>
      <c r="C54" s="1" t="s">
        <v>81</v>
      </c>
      <c r="D54" s="1" t="s">
        <v>19</v>
      </c>
      <c r="E54" s="1">
        <v>20</v>
      </c>
      <c r="F54" s="8">
        <v>150000</v>
      </c>
      <c r="G54" s="10">
        <f t="shared" si="0"/>
        <v>3000000</v>
      </c>
      <c r="H54" s="1" t="s">
        <v>229</v>
      </c>
      <c r="I54" s="1" t="s">
        <v>100</v>
      </c>
    </row>
    <row r="55" spans="1:9" x14ac:dyDescent="0.35">
      <c r="A55" s="3">
        <v>45740</v>
      </c>
      <c r="B55" s="1" t="s">
        <v>47</v>
      </c>
      <c r="C55" s="1" t="s">
        <v>354</v>
      </c>
      <c r="D55" s="1" t="s">
        <v>337</v>
      </c>
      <c r="E55" s="1">
        <v>5</v>
      </c>
      <c r="F55" s="8">
        <v>65000</v>
      </c>
      <c r="G55" s="10">
        <f t="shared" si="0"/>
        <v>325000</v>
      </c>
      <c r="H55" s="1" t="s">
        <v>60</v>
      </c>
      <c r="I55" s="1" t="s">
        <v>346</v>
      </c>
    </row>
    <row r="56" spans="1:9" x14ac:dyDescent="0.35">
      <c r="A56" s="3">
        <v>45742</v>
      </c>
      <c r="B56" s="1" t="s">
        <v>77</v>
      </c>
      <c r="C56" s="1" t="s">
        <v>356</v>
      </c>
      <c r="D56" s="1" t="s">
        <v>166</v>
      </c>
      <c r="E56" s="1">
        <v>5</v>
      </c>
      <c r="F56" s="8">
        <v>85000</v>
      </c>
      <c r="G56" s="10">
        <f t="shared" si="0"/>
        <v>425000</v>
      </c>
      <c r="H56" s="1" t="s">
        <v>342</v>
      </c>
      <c r="I56" s="1" t="s">
        <v>351</v>
      </c>
    </row>
    <row r="57" spans="1:9" x14ac:dyDescent="0.35">
      <c r="A57" s="3">
        <v>45748</v>
      </c>
      <c r="B57" s="1" t="s">
        <v>47</v>
      </c>
      <c r="C57" s="1" t="s">
        <v>81</v>
      </c>
      <c r="D57" s="1" t="s">
        <v>19</v>
      </c>
      <c r="E57" s="1">
        <v>11</v>
      </c>
      <c r="F57" s="8">
        <v>150000</v>
      </c>
      <c r="G57" s="10">
        <f t="shared" si="0"/>
        <v>1650000</v>
      </c>
      <c r="H57" s="1" t="s">
        <v>311</v>
      </c>
      <c r="I57" s="1" t="s">
        <v>246</v>
      </c>
    </row>
    <row r="58" spans="1:9" x14ac:dyDescent="0.35">
      <c r="A58" s="3">
        <v>45751</v>
      </c>
      <c r="B58" s="1" t="s">
        <v>77</v>
      </c>
      <c r="C58" s="1" t="s">
        <v>81</v>
      </c>
      <c r="D58" s="1" t="s">
        <v>19</v>
      </c>
      <c r="E58" s="1">
        <v>17</v>
      </c>
      <c r="F58" s="8">
        <v>150000</v>
      </c>
      <c r="G58" s="10">
        <f t="shared" si="0"/>
        <v>2550000</v>
      </c>
      <c r="H58" s="1" t="s">
        <v>229</v>
      </c>
      <c r="I58" s="1" t="s">
        <v>16</v>
      </c>
    </row>
    <row r="59" spans="1:9" x14ac:dyDescent="0.35">
      <c r="A59" s="3">
        <v>45752</v>
      </c>
      <c r="B59" s="1" t="s">
        <v>77</v>
      </c>
      <c r="C59" s="1" t="s">
        <v>90</v>
      </c>
      <c r="D59" s="1" t="s">
        <v>91</v>
      </c>
      <c r="E59" s="1">
        <v>13</v>
      </c>
      <c r="F59" s="8">
        <v>250000</v>
      </c>
      <c r="G59" s="10">
        <f t="shared" si="0"/>
        <v>3250000</v>
      </c>
      <c r="H59" s="1" t="s">
        <v>89</v>
      </c>
      <c r="I59" s="1" t="s">
        <v>100</v>
      </c>
    </row>
    <row r="60" spans="1:9" x14ac:dyDescent="0.35">
      <c r="A60" s="3">
        <v>45753</v>
      </c>
      <c r="B60" s="1" t="s">
        <v>77</v>
      </c>
      <c r="C60" s="1" t="s">
        <v>90</v>
      </c>
      <c r="D60" s="1" t="s">
        <v>91</v>
      </c>
      <c r="E60" s="1">
        <v>20</v>
      </c>
      <c r="F60" s="8">
        <v>250000</v>
      </c>
      <c r="G60" s="10">
        <f t="shared" si="0"/>
        <v>5000000</v>
      </c>
      <c r="H60" s="1" t="s">
        <v>342</v>
      </c>
      <c r="I60" s="1" t="s">
        <v>16</v>
      </c>
    </row>
    <row r="61" spans="1:9" x14ac:dyDescent="0.35">
      <c r="A61" s="3">
        <v>45753</v>
      </c>
      <c r="B61" s="1" t="s">
        <v>8</v>
      </c>
      <c r="C61" s="1" t="s">
        <v>354</v>
      </c>
      <c r="D61" s="1" t="s">
        <v>337</v>
      </c>
      <c r="E61" s="1">
        <v>12</v>
      </c>
      <c r="F61" s="8">
        <v>65000</v>
      </c>
      <c r="G61" s="10">
        <f t="shared" si="0"/>
        <v>780000</v>
      </c>
      <c r="H61" s="1" t="s">
        <v>134</v>
      </c>
      <c r="I61" s="1" t="s">
        <v>100</v>
      </c>
    </row>
    <row r="62" spans="1:9" x14ac:dyDescent="0.35">
      <c r="A62" s="3">
        <v>45754</v>
      </c>
      <c r="B62" s="1" t="s">
        <v>8</v>
      </c>
      <c r="C62" s="1" t="s">
        <v>352</v>
      </c>
      <c r="D62" s="1" t="s">
        <v>124</v>
      </c>
      <c r="E62" s="1">
        <v>4</v>
      </c>
      <c r="F62" s="8">
        <v>350000</v>
      </c>
      <c r="G62" s="10">
        <f t="shared" si="0"/>
        <v>1400000</v>
      </c>
      <c r="H62" s="1" t="s">
        <v>342</v>
      </c>
      <c r="I62" s="1" t="s">
        <v>349</v>
      </c>
    </row>
    <row r="63" spans="1:9" x14ac:dyDescent="0.35">
      <c r="A63" s="3">
        <v>45755</v>
      </c>
      <c r="B63" s="1" t="s">
        <v>77</v>
      </c>
      <c r="C63" s="1" t="s">
        <v>352</v>
      </c>
      <c r="D63" s="1" t="s">
        <v>124</v>
      </c>
      <c r="E63" s="1">
        <v>6</v>
      </c>
      <c r="F63" s="8">
        <v>350000</v>
      </c>
      <c r="G63" s="10">
        <f t="shared" si="0"/>
        <v>2100000</v>
      </c>
      <c r="H63" s="1" t="s">
        <v>341</v>
      </c>
      <c r="I63" s="1" t="s">
        <v>16</v>
      </c>
    </row>
    <row r="64" spans="1:9" x14ac:dyDescent="0.35">
      <c r="A64" s="3">
        <v>45755</v>
      </c>
      <c r="B64" s="1" t="s">
        <v>8</v>
      </c>
      <c r="C64" s="1" t="s">
        <v>81</v>
      </c>
      <c r="D64" s="1" t="s">
        <v>19</v>
      </c>
      <c r="E64" s="1">
        <v>5</v>
      </c>
      <c r="F64" s="8">
        <v>150000</v>
      </c>
      <c r="G64" s="10">
        <f t="shared" si="0"/>
        <v>750000</v>
      </c>
      <c r="H64" s="1" t="s">
        <v>89</v>
      </c>
      <c r="I64" s="1" t="s">
        <v>51</v>
      </c>
    </row>
    <row r="65" spans="1:9" x14ac:dyDescent="0.35">
      <c r="A65" s="3">
        <v>45757</v>
      </c>
      <c r="B65" s="1" t="s">
        <v>77</v>
      </c>
      <c r="C65" s="1" t="s">
        <v>355</v>
      </c>
      <c r="D65" s="1" t="s">
        <v>85</v>
      </c>
      <c r="E65" s="1">
        <v>19</v>
      </c>
      <c r="F65" s="8">
        <v>175000</v>
      </c>
      <c r="G65" s="10">
        <f t="shared" si="0"/>
        <v>3325000</v>
      </c>
      <c r="H65" s="1" t="s">
        <v>311</v>
      </c>
      <c r="I65" s="1" t="s">
        <v>346</v>
      </c>
    </row>
    <row r="66" spans="1:9" x14ac:dyDescent="0.35">
      <c r="A66" s="3">
        <v>45761</v>
      </c>
      <c r="B66" s="1" t="s">
        <v>8</v>
      </c>
      <c r="C66" s="1" t="s">
        <v>356</v>
      </c>
      <c r="D66" s="1" t="s">
        <v>166</v>
      </c>
      <c r="E66" s="1">
        <v>2</v>
      </c>
      <c r="F66" s="8">
        <v>85000</v>
      </c>
      <c r="G66" s="10">
        <f t="shared" ref="G66:G101" si="1">PRODUCT(E66,F66)</f>
        <v>170000</v>
      </c>
      <c r="H66" s="1" t="s">
        <v>89</v>
      </c>
      <c r="I66" s="1" t="s">
        <v>346</v>
      </c>
    </row>
    <row r="67" spans="1:9" x14ac:dyDescent="0.35">
      <c r="A67" s="3">
        <v>45762</v>
      </c>
      <c r="B67" s="1" t="s">
        <v>8</v>
      </c>
      <c r="C67" s="1" t="s">
        <v>356</v>
      </c>
      <c r="D67" s="1" t="s">
        <v>166</v>
      </c>
      <c r="E67" s="1">
        <v>2</v>
      </c>
      <c r="F67" s="8">
        <v>85000</v>
      </c>
      <c r="G67" s="10">
        <f t="shared" si="1"/>
        <v>170000</v>
      </c>
      <c r="H67" s="1" t="s">
        <v>341</v>
      </c>
      <c r="I67" s="1" t="s">
        <v>343</v>
      </c>
    </row>
    <row r="68" spans="1:9" x14ac:dyDescent="0.35">
      <c r="A68" s="3">
        <v>45765</v>
      </c>
      <c r="B68" s="1" t="s">
        <v>8</v>
      </c>
      <c r="C68" s="1" t="s">
        <v>81</v>
      </c>
      <c r="D68" s="1" t="s">
        <v>19</v>
      </c>
      <c r="E68" s="1">
        <v>20</v>
      </c>
      <c r="F68" s="8">
        <v>150000</v>
      </c>
      <c r="G68" s="10">
        <f t="shared" si="1"/>
        <v>3000000</v>
      </c>
      <c r="H68" s="1" t="s">
        <v>229</v>
      </c>
      <c r="I68" s="1" t="s">
        <v>16</v>
      </c>
    </row>
    <row r="69" spans="1:9" x14ac:dyDescent="0.35">
      <c r="A69" s="3">
        <v>45776</v>
      </c>
      <c r="B69" s="1" t="s">
        <v>47</v>
      </c>
      <c r="C69" s="1" t="s">
        <v>81</v>
      </c>
      <c r="D69" s="1" t="s">
        <v>19</v>
      </c>
      <c r="E69" s="1">
        <v>1</v>
      </c>
      <c r="F69" s="8">
        <v>150000</v>
      </c>
      <c r="G69" s="10">
        <f t="shared" si="1"/>
        <v>150000</v>
      </c>
      <c r="H69" s="1" t="s">
        <v>60</v>
      </c>
      <c r="I69" s="1" t="s">
        <v>346</v>
      </c>
    </row>
    <row r="70" spans="1:9" x14ac:dyDescent="0.35">
      <c r="A70" s="3">
        <v>45779</v>
      </c>
      <c r="B70" s="1" t="s">
        <v>47</v>
      </c>
      <c r="C70" s="1" t="s">
        <v>81</v>
      </c>
      <c r="D70" s="1" t="s">
        <v>19</v>
      </c>
      <c r="E70" s="1">
        <v>3</v>
      </c>
      <c r="F70" s="8">
        <v>150000</v>
      </c>
      <c r="G70" s="10">
        <f t="shared" si="1"/>
        <v>450000</v>
      </c>
      <c r="H70" s="1" t="s">
        <v>60</v>
      </c>
      <c r="I70" s="1" t="s">
        <v>343</v>
      </c>
    </row>
    <row r="71" spans="1:9" x14ac:dyDescent="0.35">
      <c r="A71" s="3">
        <v>45782</v>
      </c>
      <c r="B71" s="1" t="s">
        <v>57</v>
      </c>
      <c r="C71" s="1" t="s">
        <v>352</v>
      </c>
      <c r="D71" s="1" t="s">
        <v>124</v>
      </c>
      <c r="E71" s="1">
        <v>8</v>
      </c>
      <c r="F71" s="8">
        <v>350000</v>
      </c>
      <c r="G71" s="10">
        <f t="shared" si="1"/>
        <v>2800000</v>
      </c>
      <c r="H71" s="1" t="s">
        <v>341</v>
      </c>
      <c r="I71" s="1" t="s">
        <v>100</v>
      </c>
    </row>
    <row r="72" spans="1:9" x14ac:dyDescent="0.35">
      <c r="A72" s="3">
        <v>45783</v>
      </c>
      <c r="B72" s="1" t="s">
        <v>47</v>
      </c>
      <c r="C72" s="1" t="s">
        <v>352</v>
      </c>
      <c r="D72" s="1" t="s">
        <v>124</v>
      </c>
      <c r="E72" s="1">
        <v>3</v>
      </c>
      <c r="F72" s="8">
        <v>350000</v>
      </c>
      <c r="G72" s="10">
        <f t="shared" si="1"/>
        <v>1050000</v>
      </c>
      <c r="H72" s="1" t="s">
        <v>60</v>
      </c>
      <c r="I72" s="1" t="s">
        <v>246</v>
      </c>
    </row>
    <row r="73" spans="1:9" x14ac:dyDescent="0.35">
      <c r="A73" s="3">
        <v>45784</v>
      </c>
      <c r="B73" s="1" t="s">
        <v>57</v>
      </c>
      <c r="C73" s="1" t="s">
        <v>353</v>
      </c>
      <c r="D73" s="1" t="s">
        <v>19</v>
      </c>
      <c r="E73" s="1">
        <v>10</v>
      </c>
      <c r="F73" s="8">
        <v>180000</v>
      </c>
      <c r="G73" s="10">
        <f t="shared" si="1"/>
        <v>1800000</v>
      </c>
      <c r="H73" s="1" t="s">
        <v>311</v>
      </c>
      <c r="I73" s="1" t="s">
        <v>246</v>
      </c>
    </row>
    <row r="74" spans="1:9" x14ac:dyDescent="0.35">
      <c r="A74" s="3">
        <v>45787</v>
      </c>
      <c r="B74" s="1" t="s">
        <v>57</v>
      </c>
      <c r="C74" s="1" t="s">
        <v>354</v>
      </c>
      <c r="D74" s="1" t="s">
        <v>337</v>
      </c>
      <c r="E74" s="1">
        <v>17</v>
      </c>
      <c r="F74" s="8">
        <v>65000</v>
      </c>
      <c r="G74" s="10">
        <f t="shared" si="1"/>
        <v>1105000</v>
      </c>
      <c r="H74" s="1" t="s">
        <v>89</v>
      </c>
      <c r="I74" s="1" t="s">
        <v>346</v>
      </c>
    </row>
    <row r="75" spans="1:9" x14ac:dyDescent="0.35">
      <c r="A75" s="3">
        <v>45788</v>
      </c>
      <c r="B75" s="1" t="s">
        <v>77</v>
      </c>
      <c r="C75" s="1" t="s">
        <v>355</v>
      </c>
      <c r="D75" s="1" t="s">
        <v>85</v>
      </c>
      <c r="E75" s="1">
        <v>12</v>
      </c>
      <c r="F75" s="8">
        <v>175000</v>
      </c>
      <c r="G75" s="10">
        <f t="shared" si="1"/>
        <v>2100000</v>
      </c>
      <c r="H75" s="1" t="s">
        <v>89</v>
      </c>
      <c r="I75" s="1" t="s">
        <v>61</v>
      </c>
    </row>
    <row r="76" spans="1:9" x14ac:dyDescent="0.35">
      <c r="A76" s="3">
        <v>45789</v>
      </c>
      <c r="B76" s="1" t="s">
        <v>47</v>
      </c>
      <c r="C76" s="1" t="s">
        <v>90</v>
      </c>
      <c r="D76" s="1" t="s">
        <v>91</v>
      </c>
      <c r="E76" s="1">
        <v>19</v>
      </c>
      <c r="F76" s="8">
        <v>250000</v>
      </c>
      <c r="G76" s="10">
        <f t="shared" si="1"/>
        <v>4750000</v>
      </c>
      <c r="H76" s="1" t="s">
        <v>342</v>
      </c>
      <c r="I76" s="1" t="s">
        <v>189</v>
      </c>
    </row>
    <row r="77" spans="1:9" x14ac:dyDescent="0.35">
      <c r="A77" s="3">
        <v>45790</v>
      </c>
      <c r="B77" s="1" t="s">
        <v>47</v>
      </c>
      <c r="C77" s="1" t="s">
        <v>81</v>
      </c>
      <c r="D77" s="1" t="s">
        <v>19</v>
      </c>
      <c r="E77" s="1">
        <v>18</v>
      </c>
      <c r="F77" s="8">
        <v>150000</v>
      </c>
      <c r="G77" s="10">
        <f t="shared" si="1"/>
        <v>2700000</v>
      </c>
      <c r="H77" s="1" t="s">
        <v>342</v>
      </c>
      <c r="I77" s="1" t="s">
        <v>51</v>
      </c>
    </row>
    <row r="78" spans="1:9" x14ac:dyDescent="0.35">
      <c r="A78" s="3">
        <v>45794</v>
      </c>
      <c r="B78" s="1" t="s">
        <v>8</v>
      </c>
      <c r="C78" s="1" t="s">
        <v>354</v>
      </c>
      <c r="D78" s="1" t="s">
        <v>337</v>
      </c>
      <c r="E78" s="1">
        <v>18</v>
      </c>
      <c r="F78" s="8">
        <v>65000</v>
      </c>
      <c r="G78" s="10">
        <f t="shared" si="1"/>
        <v>1170000</v>
      </c>
      <c r="H78" s="1" t="s">
        <v>341</v>
      </c>
      <c r="I78" s="1" t="s">
        <v>496</v>
      </c>
    </row>
    <row r="79" spans="1:9" x14ac:dyDescent="0.35">
      <c r="A79" s="3">
        <v>45796</v>
      </c>
      <c r="B79" s="1" t="s">
        <v>8</v>
      </c>
      <c r="C79" s="1" t="s">
        <v>356</v>
      </c>
      <c r="D79" s="1" t="s">
        <v>166</v>
      </c>
      <c r="E79" s="1">
        <v>13</v>
      </c>
      <c r="F79" s="8">
        <v>85000</v>
      </c>
      <c r="G79" s="10">
        <f t="shared" si="1"/>
        <v>1105000</v>
      </c>
      <c r="H79" s="1" t="s">
        <v>60</v>
      </c>
      <c r="I79" s="1" t="s">
        <v>100</v>
      </c>
    </row>
    <row r="80" spans="1:9" x14ac:dyDescent="0.35">
      <c r="A80" s="3">
        <v>45798</v>
      </c>
      <c r="B80" s="1" t="s">
        <v>77</v>
      </c>
      <c r="C80" s="1" t="s">
        <v>352</v>
      </c>
      <c r="D80" s="1" t="s">
        <v>124</v>
      </c>
      <c r="E80" s="1">
        <v>14</v>
      </c>
      <c r="F80" s="8">
        <v>350000</v>
      </c>
      <c r="G80" s="10">
        <f t="shared" si="1"/>
        <v>4900000</v>
      </c>
      <c r="H80" s="1" t="s">
        <v>342</v>
      </c>
      <c r="I80" s="1" t="s">
        <v>16</v>
      </c>
    </row>
    <row r="81" spans="1:9" x14ac:dyDescent="0.35">
      <c r="A81" s="3">
        <v>45802</v>
      </c>
      <c r="B81" s="1" t="s">
        <v>47</v>
      </c>
      <c r="C81" s="1" t="s">
        <v>355</v>
      </c>
      <c r="D81" s="1" t="s">
        <v>85</v>
      </c>
      <c r="E81" s="1">
        <v>3</v>
      </c>
      <c r="F81" s="8">
        <v>175000</v>
      </c>
      <c r="G81" s="10">
        <f t="shared" si="1"/>
        <v>525000</v>
      </c>
      <c r="H81" s="1" t="s">
        <v>342</v>
      </c>
      <c r="I81" s="1" t="s">
        <v>189</v>
      </c>
    </row>
    <row r="82" spans="1:9" x14ac:dyDescent="0.35">
      <c r="A82" s="3">
        <v>45802</v>
      </c>
      <c r="B82" s="1" t="s">
        <v>77</v>
      </c>
      <c r="C82" s="1" t="s">
        <v>81</v>
      </c>
      <c r="D82" s="1" t="s">
        <v>19</v>
      </c>
      <c r="E82" s="1">
        <v>1</v>
      </c>
      <c r="F82" s="8">
        <v>150000</v>
      </c>
      <c r="G82" s="10">
        <f t="shared" si="1"/>
        <v>150000</v>
      </c>
      <c r="H82" s="1" t="s">
        <v>342</v>
      </c>
      <c r="I82" s="1" t="s">
        <v>16</v>
      </c>
    </row>
    <row r="83" spans="1:9" x14ac:dyDescent="0.35">
      <c r="A83" s="3">
        <v>45803</v>
      </c>
      <c r="B83" s="1" t="s">
        <v>77</v>
      </c>
      <c r="C83" s="1" t="s">
        <v>353</v>
      </c>
      <c r="D83" s="1" t="s">
        <v>19</v>
      </c>
      <c r="E83" s="1">
        <v>19</v>
      </c>
      <c r="F83" s="8">
        <v>157427</v>
      </c>
      <c r="G83" s="10">
        <f t="shared" si="1"/>
        <v>2991113</v>
      </c>
      <c r="H83" s="1" t="s">
        <v>341</v>
      </c>
      <c r="I83" s="1" t="s">
        <v>16</v>
      </c>
    </row>
    <row r="84" spans="1:9" x14ac:dyDescent="0.35">
      <c r="A84" s="3">
        <v>45804</v>
      </c>
      <c r="B84" s="1" t="s">
        <v>77</v>
      </c>
      <c r="C84" s="1" t="s">
        <v>353</v>
      </c>
      <c r="D84" s="1" t="s">
        <v>19</v>
      </c>
      <c r="E84" s="1">
        <v>4</v>
      </c>
      <c r="F84" s="8">
        <v>180000</v>
      </c>
      <c r="G84" s="10">
        <f t="shared" si="1"/>
        <v>720000</v>
      </c>
      <c r="H84" s="1" t="s">
        <v>60</v>
      </c>
      <c r="I84" s="1" t="s">
        <v>16</v>
      </c>
    </row>
    <row r="85" spans="1:9" x14ac:dyDescent="0.35">
      <c r="A85" s="3">
        <v>45805</v>
      </c>
      <c r="B85" s="1" t="s">
        <v>57</v>
      </c>
      <c r="C85" s="1" t="s">
        <v>81</v>
      </c>
      <c r="D85" s="1" t="s">
        <v>19</v>
      </c>
      <c r="E85" s="1">
        <v>8</v>
      </c>
      <c r="F85" s="8">
        <v>150000</v>
      </c>
      <c r="G85" s="10">
        <f t="shared" si="1"/>
        <v>1200000</v>
      </c>
      <c r="H85" s="1" t="s">
        <v>341</v>
      </c>
      <c r="I85" s="1" t="s">
        <v>61</v>
      </c>
    </row>
    <row r="86" spans="1:9" x14ac:dyDescent="0.35">
      <c r="A86" s="3">
        <v>45806</v>
      </c>
      <c r="B86" s="1" t="s">
        <v>77</v>
      </c>
      <c r="C86" s="1" t="s">
        <v>353</v>
      </c>
      <c r="D86" s="1" t="s">
        <v>19</v>
      </c>
      <c r="E86" s="1">
        <v>13</v>
      </c>
      <c r="F86" s="8">
        <v>180000</v>
      </c>
      <c r="G86" s="10">
        <f t="shared" si="1"/>
        <v>2340000</v>
      </c>
      <c r="H86" s="1" t="s">
        <v>342</v>
      </c>
      <c r="I86" s="1" t="s">
        <v>495</v>
      </c>
    </row>
    <row r="87" spans="1:9" x14ac:dyDescent="0.35">
      <c r="A87" s="3">
        <v>45809</v>
      </c>
      <c r="B87" s="1" t="s">
        <v>77</v>
      </c>
      <c r="C87" s="1" t="s">
        <v>356</v>
      </c>
      <c r="D87" s="1" t="s">
        <v>166</v>
      </c>
      <c r="E87" s="1">
        <v>7</v>
      </c>
      <c r="F87" s="8">
        <v>85000</v>
      </c>
      <c r="G87" s="10">
        <f t="shared" si="1"/>
        <v>595000</v>
      </c>
      <c r="H87" s="1" t="s">
        <v>60</v>
      </c>
      <c r="I87" s="1" t="s">
        <v>343</v>
      </c>
    </row>
    <row r="88" spans="1:9" x14ac:dyDescent="0.35">
      <c r="A88" s="3">
        <v>45810</v>
      </c>
      <c r="B88" s="1" t="s">
        <v>57</v>
      </c>
      <c r="C88" s="1" t="s">
        <v>81</v>
      </c>
      <c r="D88" s="1" t="s">
        <v>19</v>
      </c>
      <c r="E88" s="1">
        <v>16</v>
      </c>
      <c r="F88" s="8">
        <v>150000</v>
      </c>
      <c r="G88" s="10">
        <f t="shared" si="1"/>
        <v>2400000</v>
      </c>
      <c r="H88" s="1" t="s">
        <v>341</v>
      </c>
      <c r="I88" s="1" t="s">
        <v>246</v>
      </c>
    </row>
    <row r="89" spans="1:9" x14ac:dyDescent="0.35">
      <c r="A89" s="3">
        <v>45811</v>
      </c>
      <c r="B89" s="1" t="s">
        <v>57</v>
      </c>
      <c r="C89" s="1" t="s">
        <v>81</v>
      </c>
      <c r="D89" s="1" t="s">
        <v>19</v>
      </c>
      <c r="E89" s="1">
        <v>1</v>
      </c>
      <c r="F89" s="8">
        <v>150000</v>
      </c>
      <c r="G89" s="10">
        <f t="shared" si="1"/>
        <v>150000</v>
      </c>
      <c r="H89" s="1" t="s">
        <v>342</v>
      </c>
      <c r="I89" s="1" t="s">
        <v>351</v>
      </c>
    </row>
    <row r="90" spans="1:9" x14ac:dyDescent="0.35">
      <c r="A90" s="3">
        <v>45815</v>
      </c>
      <c r="B90" s="1" t="s">
        <v>8</v>
      </c>
      <c r="C90" s="1" t="s">
        <v>352</v>
      </c>
      <c r="D90" s="1" t="s">
        <v>124</v>
      </c>
      <c r="E90" s="1">
        <v>20</v>
      </c>
      <c r="F90" s="8">
        <v>350000</v>
      </c>
      <c r="G90" s="10">
        <f t="shared" si="1"/>
        <v>7000000</v>
      </c>
      <c r="H90" s="1" t="s">
        <v>134</v>
      </c>
      <c r="I90" s="1" t="s">
        <v>189</v>
      </c>
    </row>
    <row r="91" spans="1:9" x14ac:dyDescent="0.35">
      <c r="A91" s="3">
        <v>45820</v>
      </c>
      <c r="B91" s="1" t="s">
        <v>77</v>
      </c>
      <c r="C91" s="1" t="s">
        <v>354</v>
      </c>
      <c r="D91" s="1" t="s">
        <v>337</v>
      </c>
      <c r="E91" s="1">
        <v>11</v>
      </c>
      <c r="F91" s="8">
        <v>62035</v>
      </c>
      <c r="G91" s="10">
        <f t="shared" si="1"/>
        <v>682385</v>
      </c>
      <c r="H91" s="1" t="s">
        <v>89</v>
      </c>
      <c r="I91" s="1" t="s">
        <v>348</v>
      </c>
    </row>
    <row r="92" spans="1:9" x14ac:dyDescent="0.35">
      <c r="A92" s="3">
        <v>45821</v>
      </c>
      <c r="B92" s="1" t="s">
        <v>8</v>
      </c>
      <c r="C92" s="1" t="s">
        <v>90</v>
      </c>
      <c r="D92" s="1" t="s">
        <v>91</v>
      </c>
      <c r="E92" s="1">
        <v>8</v>
      </c>
      <c r="F92" s="8">
        <v>2500000</v>
      </c>
      <c r="G92" s="10">
        <f t="shared" si="1"/>
        <v>20000000</v>
      </c>
      <c r="H92" s="1" t="s">
        <v>134</v>
      </c>
      <c r="I92" s="1" t="s">
        <v>343</v>
      </c>
    </row>
    <row r="93" spans="1:9" x14ac:dyDescent="0.35">
      <c r="A93" s="3">
        <v>45823</v>
      </c>
      <c r="B93" s="1" t="s">
        <v>8</v>
      </c>
      <c r="C93" s="1" t="s">
        <v>90</v>
      </c>
      <c r="D93" s="1" t="s">
        <v>91</v>
      </c>
      <c r="E93" s="1">
        <v>3</v>
      </c>
      <c r="F93" s="8">
        <v>250000</v>
      </c>
      <c r="G93" s="10">
        <f t="shared" si="1"/>
        <v>750000</v>
      </c>
      <c r="H93" s="1" t="s">
        <v>311</v>
      </c>
      <c r="I93" s="1" t="s">
        <v>246</v>
      </c>
    </row>
    <row r="94" spans="1:9" x14ac:dyDescent="0.35">
      <c r="A94" s="3">
        <v>45825</v>
      </c>
      <c r="B94" s="1" t="s">
        <v>47</v>
      </c>
      <c r="C94" s="1" t="s">
        <v>352</v>
      </c>
      <c r="D94" s="1" t="s">
        <v>124</v>
      </c>
      <c r="E94" s="1">
        <v>14</v>
      </c>
      <c r="F94" s="8">
        <v>350000</v>
      </c>
      <c r="G94" s="10">
        <f t="shared" si="1"/>
        <v>4900000</v>
      </c>
      <c r="H94" s="1" t="s">
        <v>89</v>
      </c>
      <c r="I94" s="1" t="s">
        <v>350</v>
      </c>
    </row>
    <row r="95" spans="1:9" x14ac:dyDescent="0.35">
      <c r="A95" s="3">
        <v>45825</v>
      </c>
      <c r="B95" s="1" t="s">
        <v>8</v>
      </c>
      <c r="C95" s="1" t="s">
        <v>352</v>
      </c>
      <c r="D95" s="1" t="s">
        <v>124</v>
      </c>
      <c r="E95" s="1">
        <v>17</v>
      </c>
      <c r="F95" s="8">
        <v>3500</v>
      </c>
      <c r="G95" s="10">
        <f t="shared" si="1"/>
        <v>59500</v>
      </c>
      <c r="H95" s="1" t="s">
        <v>89</v>
      </c>
      <c r="I95" s="1" t="s">
        <v>61</v>
      </c>
    </row>
    <row r="96" spans="1:9" x14ac:dyDescent="0.35">
      <c r="A96" s="3">
        <v>45825</v>
      </c>
      <c r="B96" s="1" t="s">
        <v>77</v>
      </c>
      <c r="C96" s="1" t="s">
        <v>356</v>
      </c>
      <c r="D96" s="1" t="s">
        <v>166</v>
      </c>
      <c r="E96" s="1">
        <v>6</v>
      </c>
      <c r="F96" s="8">
        <v>85000</v>
      </c>
      <c r="G96" s="10">
        <f t="shared" si="1"/>
        <v>510000</v>
      </c>
      <c r="H96" s="1" t="s">
        <v>229</v>
      </c>
      <c r="I96" s="1" t="s">
        <v>347</v>
      </c>
    </row>
    <row r="97" spans="1:9" x14ac:dyDescent="0.35">
      <c r="A97" s="3">
        <v>45834</v>
      </c>
      <c r="B97" s="1" t="s">
        <v>77</v>
      </c>
      <c r="C97" s="1" t="s">
        <v>355</v>
      </c>
      <c r="D97" s="1" t="s">
        <v>85</v>
      </c>
      <c r="E97" s="1">
        <v>20</v>
      </c>
      <c r="F97" s="8">
        <v>175000</v>
      </c>
      <c r="G97" s="10">
        <f t="shared" si="1"/>
        <v>3500000</v>
      </c>
      <c r="H97" s="1" t="s">
        <v>311</v>
      </c>
      <c r="I97" s="1" t="s">
        <v>343</v>
      </c>
    </row>
    <row r="98" spans="1:9" x14ac:dyDescent="0.35">
      <c r="A98" s="3">
        <v>45835</v>
      </c>
      <c r="B98" s="1" t="s">
        <v>57</v>
      </c>
      <c r="C98" s="1" t="s">
        <v>355</v>
      </c>
      <c r="D98" s="1" t="s">
        <v>85</v>
      </c>
      <c r="E98" s="1">
        <v>17</v>
      </c>
      <c r="F98" s="8">
        <v>175000</v>
      </c>
      <c r="G98" s="10">
        <f t="shared" si="1"/>
        <v>2975000</v>
      </c>
      <c r="H98" s="1" t="s">
        <v>341</v>
      </c>
      <c r="I98" s="1" t="s">
        <v>347</v>
      </c>
    </row>
    <row r="99" spans="1:9" x14ac:dyDescent="0.35">
      <c r="A99" s="3">
        <v>45836</v>
      </c>
      <c r="B99" s="1" t="s">
        <v>47</v>
      </c>
      <c r="C99" s="1" t="s">
        <v>81</v>
      </c>
      <c r="D99" s="1" t="s">
        <v>19</v>
      </c>
      <c r="E99" s="1">
        <v>4</v>
      </c>
      <c r="F99" s="8">
        <v>150000</v>
      </c>
      <c r="G99" s="10">
        <f t="shared" si="1"/>
        <v>600000</v>
      </c>
      <c r="H99" s="1" t="s">
        <v>134</v>
      </c>
      <c r="I99" s="1" t="s">
        <v>51</v>
      </c>
    </row>
    <row r="100" spans="1:9" x14ac:dyDescent="0.35">
      <c r="A100" s="3">
        <v>45837</v>
      </c>
      <c r="B100" s="1" t="s">
        <v>57</v>
      </c>
      <c r="C100" s="1" t="s">
        <v>355</v>
      </c>
      <c r="D100" s="1" t="s">
        <v>85</v>
      </c>
      <c r="E100" s="1">
        <v>8</v>
      </c>
      <c r="F100" s="8">
        <v>175000</v>
      </c>
      <c r="G100" s="10">
        <f t="shared" si="1"/>
        <v>1400000</v>
      </c>
      <c r="H100" s="1" t="s">
        <v>134</v>
      </c>
      <c r="I100" s="1" t="s">
        <v>51</v>
      </c>
    </row>
    <row r="101" spans="1:9" x14ac:dyDescent="0.35">
      <c r="A101" s="3">
        <v>45838</v>
      </c>
      <c r="B101" s="1" t="s">
        <v>77</v>
      </c>
      <c r="C101" s="1" t="s">
        <v>354</v>
      </c>
      <c r="D101" s="1" t="s">
        <v>337</v>
      </c>
      <c r="E101" s="1">
        <v>10</v>
      </c>
      <c r="F101" s="8">
        <v>65000</v>
      </c>
      <c r="G101" s="10">
        <f t="shared" si="1"/>
        <v>650000</v>
      </c>
      <c r="H101" s="1" t="s">
        <v>335</v>
      </c>
      <c r="I10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Raw Data</vt:lpstr>
      <vt:lpstr>Cleaned Data</vt:lpstr>
      <vt:lpstr>Data visualization table.</vt:lpstr>
      <vt:lpstr>EXPORTING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H.</dc:creator>
  <cp:keywords>Personal</cp:keywords>
  <cp:lastModifiedBy>MOGVIN .</cp:lastModifiedBy>
  <dcterms:created xsi:type="dcterms:W3CDTF">2025-10-20T20:05:08Z</dcterms:created>
  <dcterms:modified xsi:type="dcterms:W3CDTF">2026-03-05T05:12:14Z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2025-10-28T17:00:44Z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e850a7d0-6f71-4a59-8f31-fc421635ba4f</vt:lpwstr>
  </property>
  <property fmtid="{D5CDD505-2E9C-101B-9397-08002B2CF9AE}" pid="7" name="MSIP_Label_defa4170-0d19-0005-0004-bc88714345d2_ActionId">
    <vt:lpwstr>a905a4e3-0ba4-43da-99e7-ede8b93906d5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